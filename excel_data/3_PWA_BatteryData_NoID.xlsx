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ate1904="1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bowdoin-my.sharepoint.com/personal/c_hambric_bowdoin_edu/Documents/Desktop/Aphasia/"/>
    </mc:Choice>
  </mc:AlternateContent>
  <xr:revisionPtr revIDLastSave="107" documentId="11_581F8B06C35ECF9C3121B0DC57D8E522F6BDA76F" xr6:coauthVersionLast="47" xr6:coauthVersionMax="47" xr10:uidLastSave="{300413FB-D894-4294-BB0D-93A14A2CFBA7}"/>
  <bookViews>
    <workbookView xWindow="-120" yWindow="-120" windowWidth="29040" windowHeight="15720" firstSheet="1" activeTab="1" xr2:uid="{00000000-000D-0000-FFFF-FFFF00000000}"/>
  </bookViews>
  <sheets>
    <sheet name="README" sheetId="3" r:id="rId1"/>
    <sheet name="PWA_BatteryData" sheetId="1" r:id="rId2"/>
  </sheets>
  <definedNames>
    <definedName name="_xlnm._FilterDatabase" localSheetId="1" hidden="1">PWA_BatteryData!$A$1:$GJ$281</definedName>
  </definedNames>
  <calcPr calcId="191028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O160" i="1" l="1"/>
  <c r="AZ160" i="1"/>
  <c r="AY160" i="1"/>
  <c r="AD160" i="1"/>
  <c r="BO90" i="1"/>
  <c r="AZ90" i="1"/>
  <c r="AY90" i="1"/>
  <c r="AD90" i="1"/>
  <c r="BO85" i="1"/>
  <c r="AZ85" i="1"/>
  <c r="AY85" i="1"/>
  <c r="AD85" i="1"/>
  <c r="BO84" i="1"/>
  <c r="AZ84" i="1"/>
  <c r="AY84" i="1"/>
  <c r="AD84" i="1"/>
  <c r="BO79" i="1"/>
  <c r="AZ79" i="1"/>
  <c r="AY79" i="1"/>
  <c r="AD79" i="1"/>
  <c r="BO78" i="1"/>
  <c r="AZ78" i="1"/>
  <c r="AY78" i="1"/>
  <c r="AD78" i="1"/>
  <c r="BO77" i="1"/>
  <c r="AZ77" i="1"/>
  <c r="AY77" i="1"/>
  <c r="AD77" i="1"/>
  <c r="BO76" i="1"/>
  <c r="AZ76" i="1"/>
  <c r="AY76" i="1"/>
  <c r="AD76" i="1"/>
  <c r="BO67" i="1"/>
  <c r="AZ67" i="1"/>
  <c r="AY67" i="1"/>
  <c r="AD67" i="1"/>
  <c r="BO50" i="1"/>
  <c r="AZ50" i="1"/>
  <c r="AY50" i="1"/>
  <c r="AD50" i="1"/>
  <c r="BO49" i="1"/>
  <c r="AZ49" i="1"/>
  <c r="AY49" i="1"/>
  <c r="AD49" i="1"/>
  <c r="CQ174" i="1"/>
  <c r="CQ173" i="1"/>
  <c r="BO25" i="1"/>
  <c r="AZ25" i="1"/>
  <c r="AY25" i="1"/>
  <c r="BO168" i="1"/>
  <c r="AZ168" i="1"/>
  <c r="AY168" i="1"/>
  <c r="AD168" i="1"/>
  <c r="BO167" i="1"/>
  <c r="AZ167" i="1"/>
  <c r="AY167" i="1"/>
  <c r="AD167" i="1"/>
  <c r="BO166" i="1"/>
  <c r="AZ166" i="1"/>
  <c r="AY166" i="1"/>
  <c r="AD166" i="1"/>
  <c r="BO165" i="1"/>
  <c r="AZ165" i="1"/>
  <c r="AY165" i="1"/>
  <c r="AD165" i="1"/>
  <c r="BO164" i="1"/>
  <c r="AZ164" i="1"/>
  <c r="AY164" i="1"/>
  <c r="AD164" i="1"/>
  <c r="BO163" i="1"/>
  <c r="AZ163" i="1"/>
  <c r="AY163" i="1"/>
  <c r="AD163" i="1"/>
  <c r="BO162" i="1"/>
  <c r="AZ162" i="1"/>
  <c r="AY162" i="1"/>
  <c r="AD162" i="1"/>
  <c r="BO161" i="1"/>
  <c r="AZ161" i="1"/>
  <c r="AY161" i="1"/>
  <c r="AD161" i="1"/>
  <c r="BO159" i="1"/>
  <c r="AZ159" i="1"/>
  <c r="AY159" i="1"/>
  <c r="AD159" i="1"/>
  <c r="BO158" i="1"/>
  <c r="AZ158" i="1"/>
  <c r="AY158" i="1"/>
  <c r="AD158" i="1"/>
  <c r="BO157" i="1"/>
  <c r="AZ157" i="1"/>
  <c r="AY157" i="1"/>
  <c r="AD157" i="1"/>
  <c r="BO156" i="1"/>
  <c r="AZ156" i="1"/>
  <c r="AY156" i="1"/>
  <c r="AD156" i="1"/>
  <c r="BO155" i="1"/>
  <c r="AZ155" i="1"/>
  <c r="AY155" i="1"/>
  <c r="AD155" i="1"/>
  <c r="BO154" i="1"/>
  <c r="AZ154" i="1"/>
  <c r="AY154" i="1"/>
  <c r="AD154" i="1"/>
  <c r="BO153" i="1"/>
  <c r="AZ153" i="1"/>
  <c r="AY153" i="1"/>
  <c r="AD153" i="1"/>
  <c r="BO152" i="1"/>
  <c r="AZ152" i="1"/>
  <c r="AY152" i="1"/>
  <c r="AD152" i="1"/>
  <c r="AZ151" i="1"/>
  <c r="AY151" i="1"/>
  <c r="AZ150" i="1"/>
  <c r="AY150" i="1"/>
  <c r="AZ149" i="1"/>
  <c r="AY149" i="1"/>
  <c r="AZ148" i="1"/>
  <c r="AY148" i="1"/>
  <c r="AD148" i="1"/>
  <c r="AZ147" i="1"/>
  <c r="AY147" i="1"/>
  <c r="AZ146" i="1"/>
  <c r="AY146" i="1"/>
  <c r="AD146" i="1"/>
  <c r="AZ145" i="1"/>
  <c r="AY145" i="1"/>
  <c r="AD145" i="1"/>
  <c r="AZ144" i="1"/>
  <c r="AY144" i="1"/>
  <c r="AD144" i="1"/>
  <c r="AZ143" i="1"/>
  <c r="AY143" i="1"/>
  <c r="AD143" i="1"/>
  <c r="AZ142" i="1"/>
  <c r="AY142" i="1"/>
  <c r="AD142" i="1"/>
  <c r="AZ141" i="1"/>
  <c r="AY141" i="1"/>
  <c r="AD141" i="1"/>
  <c r="BO140" i="1"/>
  <c r="AZ140" i="1"/>
  <c r="AY140" i="1"/>
  <c r="AD140" i="1"/>
  <c r="AZ139" i="1"/>
  <c r="AY139" i="1"/>
  <c r="AD139" i="1"/>
  <c r="AZ138" i="1"/>
  <c r="BO137" i="1"/>
  <c r="AZ137" i="1"/>
  <c r="AY137" i="1"/>
  <c r="AD137" i="1"/>
  <c r="BO136" i="1"/>
  <c r="AZ136" i="1"/>
  <c r="AY136" i="1"/>
  <c r="AD136" i="1"/>
  <c r="BO135" i="1"/>
  <c r="AZ135" i="1"/>
  <c r="AY135" i="1"/>
  <c r="AD135" i="1"/>
  <c r="BO134" i="1"/>
  <c r="AZ134" i="1"/>
  <c r="AY134" i="1"/>
  <c r="AD134" i="1"/>
  <c r="BO133" i="1"/>
  <c r="AZ133" i="1"/>
  <c r="AY133" i="1"/>
  <c r="AD133" i="1"/>
  <c r="BO132" i="1"/>
  <c r="AZ132" i="1"/>
  <c r="AY132" i="1"/>
  <c r="AD132" i="1"/>
  <c r="BO131" i="1"/>
  <c r="AZ131" i="1"/>
  <c r="AY131" i="1"/>
  <c r="AD131" i="1"/>
  <c r="BO130" i="1"/>
  <c r="AZ130" i="1"/>
  <c r="AY130" i="1"/>
  <c r="AD130" i="1"/>
  <c r="AZ129" i="1"/>
  <c r="AY129" i="1"/>
  <c r="AD129" i="1"/>
  <c r="BO128" i="1"/>
  <c r="AZ128" i="1"/>
  <c r="AY128" i="1"/>
  <c r="AD128" i="1"/>
  <c r="BO127" i="1"/>
  <c r="AZ127" i="1"/>
  <c r="AY127" i="1"/>
  <c r="AD127" i="1"/>
  <c r="BO126" i="1"/>
  <c r="AZ126" i="1"/>
  <c r="AY126" i="1"/>
  <c r="AD126" i="1"/>
  <c r="BO125" i="1"/>
  <c r="AZ125" i="1"/>
  <c r="AY125" i="1"/>
  <c r="AD125" i="1"/>
  <c r="BO124" i="1"/>
  <c r="AZ124" i="1"/>
  <c r="AY124" i="1"/>
  <c r="AD124" i="1"/>
  <c r="AZ123" i="1"/>
  <c r="BO122" i="1"/>
  <c r="AZ122" i="1"/>
  <c r="AY122" i="1"/>
  <c r="AD122" i="1"/>
  <c r="AZ121" i="1"/>
  <c r="BO120" i="1"/>
  <c r="AZ120" i="1"/>
  <c r="AY120" i="1"/>
  <c r="AD120" i="1"/>
  <c r="AZ119" i="1"/>
  <c r="AY119" i="1"/>
  <c r="AZ118" i="1"/>
  <c r="AY118" i="1"/>
  <c r="AD118" i="1"/>
  <c r="AZ117" i="1"/>
  <c r="BO116" i="1"/>
  <c r="AZ116" i="1"/>
  <c r="AY116" i="1"/>
  <c r="AD116" i="1"/>
  <c r="BO115" i="1"/>
  <c r="AZ115" i="1"/>
  <c r="AY115" i="1"/>
  <c r="AD115" i="1"/>
  <c r="BO114" i="1"/>
  <c r="AZ114" i="1"/>
  <c r="AY114" i="1"/>
  <c r="AD114" i="1"/>
  <c r="BO113" i="1"/>
  <c r="AZ113" i="1"/>
  <c r="AY113" i="1"/>
  <c r="AD113" i="1"/>
  <c r="BO112" i="1"/>
  <c r="AZ112" i="1"/>
  <c r="AY112" i="1"/>
  <c r="AD112" i="1"/>
  <c r="AZ111" i="1"/>
  <c r="BO110" i="1"/>
  <c r="AZ110" i="1"/>
  <c r="AY110" i="1"/>
  <c r="AD110" i="1"/>
  <c r="BO109" i="1"/>
  <c r="AZ109" i="1"/>
  <c r="AY109" i="1"/>
  <c r="AD109" i="1"/>
  <c r="BO108" i="1"/>
  <c r="AZ108" i="1"/>
  <c r="AY108" i="1"/>
  <c r="AD108" i="1"/>
  <c r="AZ107" i="1"/>
  <c r="BO106" i="1"/>
  <c r="AZ106" i="1"/>
  <c r="AY106" i="1"/>
  <c r="AD106" i="1"/>
  <c r="BO105" i="1"/>
  <c r="AZ105" i="1"/>
  <c r="AY105" i="1"/>
  <c r="AD105" i="1"/>
  <c r="BO104" i="1"/>
  <c r="AZ104" i="1"/>
  <c r="AY104" i="1"/>
  <c r="AD104" i="1"/>
  <c r="BO103" i="1"/>
  <c r="AZ103" i="1"/>
  <c r="AY103" i="1"/>
  <c r="AD103" i="1"/>
  <c r="BO102" i="1"/>
  <c r="AZ102" i="1"/>
  <c r="AY102" i="1"/>
  <c r="AD102" i="1"/>
  <c r="BO101" i="1"/>
  <c r="AZ101" i="1"/>
  <c r="AY101" i="1"/>
  <c r="AD101" i="1"/>
  <c r="BO100" i="1"/>
  <c r="AZ100" i="1"/>
  <c r="AY100" i="1"/>
  <c r="AD100" i="1"/>
  <c r="BO99" i="1"/>
  <c r="AZ99" i="1"/>
  <c r="AY99" i="1"/>
  <c r="BO98" i="1"/>
  <c r="AZ98" i="1"/>
  <c r="AY98" i="1"/>
  <c r="AD98" i="1"/>
  <c r="BO97" i="1"/>
  <c r="AZ97" i="1"/>
  <c r="AY97" i="1"/>
  <c r="AD97" i="1"/>
  <c r="BO96" i="1"/>
  <c r="AZ96" i="1"/>
  <c r="AY96" i="1"/>
  <c r="AD96" i="1"/>
  <c r="BO95" i="1"/>
  <c r="AZ95" i="1"/>
  <c r="AY95" i="1"/>
  <c r="AD95" i="1"/>
  <c r="BO94" i="1"/>
  <c r="AZ94" i="1"/>
  <c r="AY94" i="1"/>
  <c r="AD94" i="1"/>
  <c r="BO93" i="1"/>
  <c r="AZ93" i="1"/>
  <c r="AY93" i="1"/>
  <c r="AD93" i="1"/>
  <c r="BO92" i="1"/>
  <c r="AZ92" i="1"/>
  <c r="AY92" i="1"/>
  <c r="BO91" i="1"/>
  <c r="AZ91" i="1"/>
  <c r="AY91" i="1"/>
  <c r="AD91" i="1"/>
  <c r="BO89" i="1"/>
  <c r="AZ89" i="1"/>
  <c r="AY89" i="1"/>
  <c r="AD89" i="1"/>
  <c r="BO88" i="1"/>
  <c r="AZ88" i="1"/>
  <c r="AY88" i="1"/>
  <c r="BO87" i="1"/>
  <c r="AZ87" i="1"/>
  <c r="AY87" i="1"/>
  <c r="AD87" i="1"/>
  <c r="BO86" i="1"/>
  <c r="AZ86" i="1"/>
  <c r="AY86" i="1"/>
  <c r="AD86" i="1"/>
  <c r="BO83" i="1"/>
  <c r="AZ83" i="1"/>
  <c r="AY83" i="1"/>
  <c r="BO82" i="1"/>
  <c r="AZ82" i="1"/>
  <c r="AY82" i="1"/>
  <c r="AK82" i="1"/>
  <c r="AD82" i="1"/>
  <c r="BO81" i="1"/>
  <c r="AZ81" i="1"/>
  <c r="AY81" i="1"/>
  <c r="AD81" i="1"/>
  <c r="BO80" i="1"/>
  <c r="AZ80" i="1"/>
  <c r="AY80" i="1"/>
  <c r="AD80" i="1"/>
  <c r="BO75" i="1"/>
  <c r="AZ75" i="1"/>
  <c r="AY75" i="1"/>
  <c r="AD75" i="1"/>
  <c r="BO74" i="1"/>
  <c r="AZ74" i="1"/>
  <c r="AY74" i="1"/>
  <c r="AD74" i="1"/>
  <c r="BO73" i="1"/>
  <c r="AZ73" i="1"/>
  <c r="AY73" i="1"/>
  <c r="BO72" i="1"/>
  <c r="AZ72" i="1"/>
  <c r="AY72" i="1"/>
  <c r="AK72" i="1"/>
  <c r="AD72" i="1"/>
  <c r="BO71" i="1"/>
  <c r="AZ71" i="1"/>
  <c r="AY71" i="1"/>
  <c r="AD71" i="1"/>
  <c r="BO70" i="1"/>
  <c r="AZ70" i="1"/>
  <c r="AY70" i="1"/>
  <c r="AD70" i="1"/>
  <c r="BO69" i="1"/>
  <c r="AZ69" i="1"/>
  <c r="AY69" i="1"/>
  <c r="AJ69" i="1"/>
  <c r="AD69" i="1"/>
  <c r="BO68" i="1"/>
  <c r="AZ68" i="1"/>
  <c r="AY68" i="1"/>
  <c r="AD68" i="1"/>
  <c r="BO66" i="1"/>
  <c r="AZ66" i="1"/>
  <c r="AY66" i="1"/>
  <c r="AD66" i="1"/>
  <c r="AZ65" i="1"/>
  <c r="AY65" i="1"/>
  <c r="AD65" i="1"/>
  <c r="BO64" i="1"/>
  <c r="AZ64" i="1"/>
  <c r="AY64" i="1"/>
  <c r="AD64" i="1"/>
  <c r="BO63" i="1"/>
  <c r="AZ63" i="1"/>
  <c r="AY63" i="1"/>
  <c r="AD63" i="1"/>
  <c r="BO62" i="1"/>
  <c r="AZ62" i="1"/>
  <c r="AY62" i="1"/>
  <c r="AD62" i="1"/>
  <c r="AZ61" i="1"/>
  <c r="BO60" i="1"/>
  <c r="AZ60" i="1"/>
  <c r="AY60" i="1"/>
  <c r="AD60" i="1"/>
  <c r="BO59" i="1"/>
  <c r="AZ59" i="1"/>
  <c r="AY59" i="1"/>
  <c r="AD59" i="1"/>
  <c r="BO58" i="1"/>
  <c r="AZ58" i="1"/>
  <c r="AY58" i="1"/>
  <c r="AD58" i="1"/>
  <c r="BO57" i="1"/>
  <c r="AZ57" i="1"/>
  <c r="AY57" i="1"/>
  <c r="AJ57" i="1"/>
  <c r="AD57" i="1"/>
  <c r="BO56" i="1"/>
  <c r="AZ56" i="1"/>
  <c r="AY56" i="1"/>
  <c r="BO55" i="1"/>
  <c r="AZ55" i="1"/>
  <c r="AY55" i="1"/>
  <c r="AD55" i="1"/>
  <c r="BO54" i="1"/>
  <c r="AZ54" i="1"/>
  <c r="AY54" i="1"/>
  <c r="AD54" i="1"/>
  <c r="BO53" i="1"/>
  <c r="AZ53" i="1"/>
  <c r="AY53" i="1"/>
  <c r="AD53" i="1"/>
  <c r="BO52" i="1"/>
  <c r="AZ52" i="1"/>
  <c r="AY52" i="1"/>
  <c r="AD52" i="1"/>
  <c r="BO51" i="1"/>
  <c r="AZ51" i="1"/>
  <c r="AY51" i="1"/>
  <c r="AD51" i="1"/>
  <c r="BO48" i="1"/>
  <c r="AZ48" i="1"/>
  <c r="AY48" i="1"/>
  <c r="AD48" i="1"/>
  <c r="BO47" i="1"/>
  <c r="AZ47" i="1"/>
  <c r="AY47" i="1"/>
  <c r="AD47" i="1"/>
  <c r="BO46" i="1"/>
  <c r="AZ46" i="1"/>
  <c r="AY46" i="1"/>
  <c r="AD46" i="1"/>
  <c r="BO45" i="1"/>
  <c r="AZ45" i="1"/>
  <c r="AY45" i="1"/>
  <c r="AK45" i="1"/>
  <c r="AJ45" i="1"/>
  <c r="AD45" i="1"/>
  <c r="BO44" i="1"/>
  <c r="AZ44" i="1"/>
  <c r="AY44" i="1"/>
  <c r="AD44" i="1"/>
  <c r="BO43" i="1"/>
  <c r="AZ43" i="1"/>
  <c r="AY43" i="1"/>
  <c r="AK43" i="1"/>
  <c r="AD43" i="1"/>
  <c r="BO42" i="1"/>
  <c r="AZ42" i="1"/>
  <c r="AY42" i="1"/>
  <c r="AK42" i="1"/>
  <c r="AJ42" i="1"/>
  <c r="AD42" i="1"/>
  <c r="BO41" i="1"/>
  <c r="AZ41" i="1"/>
  <c r="AY41" i="1"/>
  <c r="AD41" i="1"/>
  <c r="BO40" i="1"/>
  <c r="AZ40" i="1"/>
  <c r="AY40" i="1"/>
  <c r="AK40" i="1"/>
  <c r="AD40" i="1"/>
  <c r="BO39" i="1"/>
  <c r="AZ39" i="1"/>
  <c r="AY39" i="1"/>
  <c r="AD39" i="1"/>
  <c r="BO38" i="1"/>
  <c r="AZ38" i="1"/>
  <c r="AY38" i="1"/>
  <c r="AJ38" i="1"/>
  <c r="AD38" i="1"/>
  <c r="BO37" i="1"/>
  <c r="AZ37" i="1"/>
  <c r="AY37" i="1"/>
  <c r="AD37" i="1"/>
  <c r="BO35" i="1"/>
  <c r="AZ35" i="1"/>
  <c r="AY35" i="1"/>
  <c r="AD35" i="1"/>
  <c r="BO33" i="1"/>
  <c r="AZ33" i="1"/>
  <c r="AY33" i="1"/>
  <c r="AK33" i="1"/>
  <c r="AD33" i="1"/>
  <c r="BO32" i="1"/>
  <c r="AZ32" i="1"/>
  <c r="AY32" i="1"/>
  <c r="AK32" i="1"/>
  <c r="AD32" i="1"/>
  <c r="BO31" i="1"/>
  <c r="AZ31" i="1"/>
  <c r="AY31" i="1"/>
  <c r="AD31" i="1"/>
  <c r="AZ30" i="1"/>
  <c r="AY30" i="1"/>
  <c r="BO29" i="1"/>
  <c r="AZ29" i="1"/>
  <c r="AY29" i="1"/>
  <c r="AD29" i="1"/>
  <c r="BO28" i="1"/>
  <c r="AZ28" i="1"/>
  <c r="AY28" i="1"/>
  <c r="BO27" i="1"/>
  <c r="AZ27" i="1"/>
  <c r="AY27" i="1"/>
  <c r="AD27" i="1"/>
  <c r="AZ26" i="1"/>
  <c r="AY26" i="1"/>
  <c r="AD26" i="1"/>
  <c r="BO24" i="1"/>
  <c r="AD24" i="1"/>
  <c r="BO23" i="1"/>
  <c r="AZ23" i="1"/>
  <c r="AY23" i="1"/>
  <c r="AD23" i="1"/>
  <c r="AZ22" i="1"/>
  <c r="AY22" i="1"/>
  <c r="AD22" i="1"/>
  <c r="AZ21" i="1"/>
  <c r="AY21" i="1"/>
  <c r="AZ20" i="1"/>
  <c r="AY20" i="1"/>
  <c r="AD20" i="1"/>
  <c r="AD19" i="1"/>
  <c r="AZ18" i="1"/>
  <c r="AY18" i="1"/>
  <c r="AD18" i="1"/>
  <c r="AZ17" i="1"/>
  <c r="AZ16" i="1"/>
  <c r="AY16" i="1"/>
  <c r="AD16" i="1"/>
  <c r="BO15" i="1"/>
  <c r="AZ15" i="1"/>
  <c r="AY15" i="1"/>
  <c r="BO14" i="1"/>
  <c r="AZ14" i="1"/>
  <c r="AY14" i="1"/>
  <c r="AD14" i="1"/>
  <c r="BO13" i="1"/>
  <c r="AZ13" i="1"/>
  <c r="AY13" i="1"/>
  <c r="AD13" i="1"/>
  <c r="BO12" i="1"/>
  <c r="AZ12" i="1"/>
  <c r="AY12" i="1"/>
  <c r="AD12" i="1"/>
  <c r="CC11" i="1"/>
  <c r="BO11" i="1"/>
  <c r="AZ11" i="1"/>
  <c r="AY11" i="1"/>
  <c r="BO10" i="1"/>
  <c r="AZ10" i="1"/>
  <c r="AY10" i="1"/>
  <c r="AD10" i="1"/>
  <c r="AZ9" i="1"/>
  <c r="BO8" i="1"/>
  <c r="AZ8" i="1"/>
  <c r="AY8" i="1"/>
  <c r="AD8" i="1"/>
  <c r="AD7" i="1"/>
  <c r="BO6" i="1"/>
  <c r="AZ6" i="1"/>
  <c r="AY6" i="1"/>
  <c r="AD6" i="1"/>
  <c r="BO5" i="1"/>
  <c r="AZ5" i="1"/>
  <c r="AY5" i="1"/>
  <c r="BO4" i="1"/>
  <c r="AZ4" i="1"/>
  <c r="AY4" i="1"/>
  <c r="AD4" i="1"/>
  <c r="BO3" i="1"/>
  <c r="AZ3" i="1"/>
  <c r="AY3" i="1"/>
  <c r="BO2" i="1"/>
  <c r="AZ2" i="1"/>
  <c r="AY2" i="1"/>
  <c r="AD2" i="1"/>
</calcChain>
</file>

<file path=xl/sharedStrings.xml><?xml version="1.0" encoding="utf-8"?>
<sst xmlns="http://schemas.openxmlformats.org/spreadsheetml/2006/main" count="3551" uniqueCount="317">
  <si>
    <t>PWA_BatteryData</t>
  </si>
  <si>
    <t>Key:</t>
  </si>
  <si>
    <t>COLOR LEGEND</t>
  </si>
  <si>
    <t>no shading</t>
  </si>
  <si>
    <t>original battery results starting as early as 2006. Some of the earlier patients may have a 3T+ scan, but most will have been scanned using 1.5, or 3T without perfusion or CT scan; Later patients unshaded all have a 3T+ scan</t>
  </si>
  <si>
    <t>2nd battery administered along with a new 3T+ scan (in most cases there was a 5 year time lapse between the original battery/scan dates, or upon rescreen the patient was found to have a &gt;10 point increase in WAB AQ.</t>
  </si>
  <si>
    <t>1st battery test results were used with a new 3T+ scan. The patient did not show a measurable (10 pt) difference on their WAB AQ at screening readmnistration</t>
  </si>
  <si>
    <t>An abbreviated set of battery tests were administered to these patients in order to assess their candidacy for participation in Denise Harvey's semantic blocking study and/or the Long Term Recovery study (LTR)</t>
  </si>
  <si>
    <t>NoBattData</t>
  </si>
  <si>
    <t>PWA without battery data currently included</t>
  </si>
  <si>
    <t>5/11/20 BB working on locating battery data^</t>
  </si>
  <si>
    <t>Fluency ID</t>
  </si>
  <si>
    <t>MRI/CT type</t>
  </si>
  <si>
    <t>WABAQ</t>
  </si>
  <si>
    <t>WABIC</t>
  </si>
  <si>
    <t>WABflcy</t>
  </si>
  <si>
    <t>WABSStotal</t>
  </si>
  <si>
    <t>WABcomp</t>
  </si>
  <si>
    <t>WABrep</t>
  </si>
  <si>
    <t>WABNaming</t>
  </si>
  <si>
    <t>LangDx</t>
  </si>
  <si>
    <t>Original sweight</t>
  </si>
  <si>
    <t>Original pweight</t>
  </si>
  <si>
    <t>orig RMSD</t>
  </si>
  <si>
    <t>refit sweight</t>
  </si>
  <si>
    <t>refit pweight</t>
  </si>
  <si>
    <t>refit RMSD</t>
  </si>
  <si>
    <t>Ncorrpnt</t>
  </si>
  <si>
    <t>Nsem</t>
  </si>
  <si>
    <t>Nfor</t>
  </si>
  <si>
    <t>Nmix</t>
  </si>
  <si>
    <t>NNonWd</t>
  </si>
  <si>
    <t>Nunrel</t>
  </si>
  <si>
    <t>TCorrPNT</t>
  </si>
  <si>
    <t>TCorrPNT(3dec)</t>
  </si>
  <si>
    <t>Raw No. Correct</t>
  </si>
  <si>
    <t>TrueSem</t>
  </si>
  <si>
    <t>TrueFor</t>
  </si>
  <si>
    <t>TrueMix</t>
  </si>
  <si>
    <t>TrueNonW</t>
  </si>
  <si>
    <t>TrueNW+F</t>
    <phoneticPr fontId="0"/>
  </si>
  <si>
    <t>TrueUnR</t>
  </si>
  <si>
    <t>Gender</t>
  </si>
  <si>
    <t>H</t>
  </si>
  <si>
    <t>Ethnic Gp</t>
  </si>
  <si>
    <t>Ed</t>
  </si>
  <si>
    <t xml:space="preserve"> Age at current testing (PNT)</t>
  </si>
  <si>
    <t>MPO at PNT (current testing)</t>
  </si>
  <si>
    <t>patient speaks a 2nd language</t>
  </si>
  <si>
    <t>prtRAW #/175</t>
  </si>
  <si>
    <t>prt</t>
  </si>
  <si>
    <t>nonwdrepRAW #/60</t>
  </si>
  <si>
    <t>nonwdrep %</t>
  </si>
  <si>
    <t>aud discrim nodelayRAW #/40</t>
  </si>
  <si>
    <t>auddisnd pct</t>
  </si>
  <si>
    <t>aud discrim delayRAW #/40</t>
  </si>
  <si>
    <t>auddisd</t>
  </si>
  <si>
    <t>lexdecwordRAW #C/80</t>
  </si>
  <si>
    <t>aldwd</t>
  </si>
  <si>
    <t>lexdecnonwordRAW #C/80</t>
  </si>
  <si>
    <t>aldnonwd</t>
  </si>
  <si>
    <r>
      <t>compute D</t>
    </r>
    <r>
      <rPr>
        <vertAlign val="superscript"/>
        <sz val="11"/>
        <rFont val="Times New Roman"/>
        <family val="1"/>
      </rPr>
      <t>1</t>
    </r>
  </si>
  <si>
    <r>
      <t>compute corrected D</t>
    </r>
    <r>
      <rPr>
        <vertAlign val="superscript"/>
        <sz val="11"/>
        <rFont val="Times New Roman"/>
        <family val="1"/>
      </rPr>
      <t>1</t>
    </r>
  </si>
  <si>
    <t>syntotRAW #/30</t>
  </si>
  <si>
    <t>syntot%</t>
  </si>
  <si>
    <t>synnounsRAW #/15</t>
  </si>
  <si>
    <t>synnouns%</t>
  </si>
  <si>
    <t>synverbsRAW #/15</t>
  </si>
  <si>
    <t>synverb%</t>
  </si>
  <si>
    <t>sentcomp_revRAW #/30</t>
  </si>
  <si>
    <t>scomprva%</t>
  </si>
  <si>
    <t>sentcomp_lexRAW #/30</t>
  </si>
  <si>
    <t>scomplxa%</t>
  </si>
  <si>
    <t>camcacRAW #/64</t>
  </si>
  <si>
    <t>camcac%</t>
  </si>
  <si>
    <t>ppvtRAW #/204</t>
  </si>
  <si>
    <t>ppvt3ss</t>
  </si>
  <si>
    <t>ppvtPercCorr (x/204)</t>
  </si>
  <si>
    <t>ppalmsRAW #/52</t>
  </si>
  <si>
    <t>ppalms</t>
  </si>
  <si>
    <t>stmspnl</t>
  </si>
  <si>
    <t>stmspns</t>
  </si>
  <si>
    <t>catprL1RAW #/40</t>
  </si>
  <si>
    <t>catprl1</t>
  </si>
  <si>
    <t>catprmax</t>
  </si>
  <si>
    <t>rhyprL1RAW #/40</t>
  </si>
  <si>
    <t>rhyprl1</t>
  </si>
  <si>
    <t>rhyprmax</t>
  </si>
  <si>
    <t>dabulsev</t>
  </si>
  <si>
    <r>
      <t xml:space="preserve">dabul score revised? </t>
    </r>
    <r>
      <rPr>
        <sz val="11"/>
        <color indexed="10"/>
        <rFont val="Times New Roman"/>
        <family val="1"/>
      </rPr>
      <t>USE THIS REVISED CLINICAL SCORE FOR APRAXIA DX</t>
    </r>
  </si>
  <si>
    <t>No. PEP errs</t>
  </si>
  <si>
    <t>propPEP</t>
  </si>
  <si>
    <t>pnvttot (pct corr)</t>
  </si>
  <si>
    <t>pnvtsem  (pct corr)</t>
  </si>
  <si>
    <t>pnvtph  (pct corr)</t>
  </si>
  <si>
    <t>Edinburgh HandednessLatQuotient</t>
  </si>
  <si>
    <t>HearingTest Results</t>
  </si>
  <si>
    <t>CIUrun</t>
  </si>
  <si>
    <t>CIU transcribed</t>
    <phoneticPr fontId="0"/>
  </si>
  <si>
    <t>CIU scored</t>
    <phoneticPr fontId="0"/>
  </si>
  <si>
    <t>CIU NOTES</t>
    <phoneticPr fontId="0"/>
  </si>
  <si>
    <t>Tester</t>
  </si>
  <si>
    <t>QPA run</t>
    <phoneticPr fontId="0"/>
  </si>
  <si>
    <t>QPA transcribed</t>
    <phoneticPr fontId="0"/>
  </si>
  <si>
    <t>QPA scored</t>
    <phoneticPr fontId="0"/>
  </si>
  <si>
    <t>QPA no. completely scored</t>
  </si>
  <si>
    <t>QPA NOTES</t>
    <phoneticPr fontId="0"/>
  </si>
  <si>
    <t>Visual Perimetry Testing</t>
    <phoneticPr fontId="0"/>
  </si>
  <si>
    <t>Extinction</t>
    <phoneticPr fontId="0"/>
  </si>
  <si>
    <t>BORB #6</t>
    <phoneticPr fontId="0"/>
  </si>
  <si>
    <t>BORB #7</t>
    <phoneticPr fontId="0"/>
  </si>
  <si>
    <t>BORB #8</t>
    <phoneticPr fontId="0"/>
  </si>
  <si>
    <t>Oral Mechanism Exam</t>
  </si>
  <si>
    <t>Picture Span-forward</t>
  </si>
  <si>
    <t>Picture Span-backward</t>
  </si>
  <si>
    <t>Corsi Blocks-forward</t>
  </si>
  <si>
    <t>Corsi Blocks-backward</t>
  </si>
  <si>
    <t>Raven's CPM # corr (n36)</t>
  </si>
  <si>
    <t xml:space="preserve">Raven's time </t>
  </si>
  <si>
    <t>CAT-recognition memory (n10)</t>
  </si>
  <si>
    <r>
      <t xml:space="preserve">CAT-cognitive-line bisection </t>
    </r>
    <r>
      <rPr>
        <u/>
        <sz val="11"/>
        <rFont val="Times New Roman"/>
        <family val="1"/>
      </rPr>
      <t>&lt;</t>
    </r>
    <r>
      <rPr>
        <sz val="11"/>
        <rFont val="Times New Roman"/>
        <family val="1"/>
      </rPr>
      <t>2.5=WNL</t>
    </r>
  </si>
  <si>
    <t>CAT T-score</t>
  </si>
  <si>
    <t>CAT-cognitive-semantic memory (n10)</t>
  </si>
  <si>
    <t>CAT-cognitive-word fluency</t>
  </si>
  <si>
    <t>CAT-cognitive-gesture (n12)</t>
  </si>
  <si>
    <t>CAT-cognitive-arithmetic (n6)</t>
  </si>
  <si>
    <t>CAT cognitive T-score</t>
  </si>
  <si>
    <t>CT</t>
  </si>
  <si>
    <t>anomic</t>
  </si>
  <si>
    <t>F</t>
  </si>
  <si>
    <t>R</t>
  </si>
  <si>
    <t>AA</t>
  </si>
  <si>
    <t>null</t>
  </si>
  <si>
    <t>no</t>
    <phoneticPr fontId="0"/>
  </si>
  <si>
    <t>none</t>
  </si>
  <si>
    <t xml:space="preserve">P </t>
  </si>
  <si>
    <t>YES</t>
  </si>
  <si>
    <t xml:space="preserve">AB </t>
  </si>
  <si>
    <t>wasn't in protocol</t>
    <phoneticPr fontId="0"/>
  </si>
  <si>
    <t>no</t>
  </si>
  <si>
    <t>P</t>
  </si>
  <si>
    <t>not yet transcribed</t>
  </si>
  <si>
    <t>not yet scored</t>
    <phoneticPr fontId="0"/>
  </si>
  <si>
    <t>AB</t>
  </si>
  <si>
    <t>WNL</t>
  </si>
  <si>
    <t>conduction</t>
  </si>
  <si>
    <t>C</t>
  </si>
  <si>
    <t>none</t>
    <phoneticPr fontId="0"/>
  </si>
  <si>
    <t>yes</t>
  </si>
  <si>
    <t>RJ</t>
  </si>
  <si>
    <t>3T+</t>
  </si>
  <si>
    <t>appears as if all prompts were run on the same day</t>
  </si>
  <si>
    <t>CF</t>
  </si>
  <si>
    <t>PP</t>
  </si>
  <si>
    <t>anomic</t>
    <phoneticPr fontId="0"/>
  </si>
  <si>
    <t>F</t>
    <phoneticPr fontId="0"/>
  </si>
  <si>
    <t>R</t>
    <phoneticPr fontId="0"/>
  </si>
  <si>
    <t xml:space="preserve">AA </t>
    <phoneticPr fontId="0"/>
  </si>
  <si>
    <t>null</t>
    <phoneticPr fontId="0"/>
  </si>
  <si>
    <t>mild</t>
    <phoneticPr fontId="0"/>
  </si>
  <si>
    <t>P</t>
    <phoneticPr fontId="0"/>
  </si>
  <si>
    <t>YES</t>
    <phoneticPr fontId="0"/>
  </si>
  <si>
    <t xml:space="preserve">YES </t>
    <phoneticPr fontId="0"/>
  </si>
  <si>
    <t>not yet scored</t>
  </si>
  <si>
    <t>AB/AM/KG</t>
    <phoneticPr fontId="0"/>
  </si>
  <si>
    <t>na</t>
  </si>
  <si>
    <t>MRI 3T</t>
  </si>
  <si>
    <t>M</t>
  </si>
  <si>
    <t xml:space="preserve">JG </t>
  </si>
  <si>
    <t>MS</t>
  </si>
  <si>
    <t>mild</t>
  </si>
  <si>
    <t xml:space="preserve">RJ </t>
  </si>
  <si>
    <t>M</t>
    <phoneticPr fontId="0"/>
  </si>
  <si>
    <t>KG</t>
    <phoneticPr fontId="0"/>
  </si>
  <si>
    <t>NO</t>
  </si>
  <si>
    <t>DB</t>
  </si>
  <si>
    <t>Anomic</t>
    <phoneticPr fontId="0"/>
  </si>
  <si>
    <t>C</t>
    <phoneticPr fontId="0"/>
  </si>
  <si>
    <t>AB</t>
    <phoneticPr fontId="0"/>
  </si>
  <si>
    <t>Anomic (recovered)</t>
  </si>
  <si>
    <t xml:space="preserve">na </t>
  </si>
  <si>
    <t xml:space="preserve">P </t>
    <phoneticPr fontId="0"/>
  </si>
  <si>
    <t xml:space="preserve">8. 5  </t>
  </si>
  <si>
    <t>wernicke</t>
  </si>
  <si>
    <t>broca's</t>
    <phoneticPr fontId="0"/>
  </si>
  <si>
    <t>yes</t>
    <phoneticPr fontId="0"/>
  </si>
  <si>
    <t>mild-mod</t>
    <phoneticPr fontId="0"/>
  </si>
  <si>
    <t>limited verbal output</t>
    <phoneticPr fontId="0"/>
  </si>
  <si>
    <t>NO</t>
    <phoneticPr fontId="0"/>
  </si>
  <si>
    <t>frustrated-d/c</t>
    <phoneticPr fontId="0"/>
  </si>
  <si>
    <t>Broca's</t>
  </si>
  <si>
    <t>not yet transcribed</t>
    <phoneticPr fontId="0"/>
  </si>
  <si>
    <t>?</t>
  </si>
  <si>
    <t>Wernicke's</t>
  </si>
  <si>
    <t>mild-mod</t>
  </si>
  <si>
    <t xml:space="preserve">not yet transcribed </t>
    <phoneticPr fontId="0"/>
  </si>
  <si>
    <t>MRI 1.5T</t>
  </si>
  <si>
    <t>not in battery</t>
  </si>
  <si>
    <t>MRI-clinical</t>
  </si>
  <si>
    <t>anomic (rec.Broca's)</t>
    <phoneticPr fontId="0"/>
  </si>
  <si>
    <t>PRT not taped</t>
  </si>
  <si>
    <t>Mari needed score</t>
    <phoneticPr fontId="0"/>
  </si>
  <si>
    <t>Audio file says different date than CF states in the clip</t>
  </si>
  <si>
    <t>,047</t>
  </si>
  <si>
    <t>none</t>
    <phoneticPr fontId="0" type="noConversion"/>
  </si>
  <si>
    <t>PS</t>
  </si>
  <si>
    <t>no test</t>
  </si>
  <si>
    <t>FAIL</t>
  </si>
  <si>
    <t>eyesight now failing-legally blind</t>
  </si>
  <si>
    <t>CH</t>
  </si>
  <si>
    <t>broca's</t>
  </si>
  <si>
    <t>mod</t>
  </si>
  <si>
    <t xml:space="preserve">PS </t>
  </si>
  <si>
    <t>Lba</t>
  </si>
  <si>
    <t>PRT tape is missing</t>
  </si>
  <si>
    <t>PS/AB</t>
  </si>
  <si>
    <t>LMc</t>
  </si>
  <si>
    <t>n/a now hearing is impaired- no PRT</t>
  </si>
  <si>
    <t>GW</t>
  </si>
  <si>
    <t>PS/LMc</t>
  </si>
  <si>
    <t>MRI-clinical</t>
    <phoneticPr fontId="0" type="noConversion"/>
  </si>
  <si>
    <t>mod-sev</t>
  </si>
  <si>
    <t>48 (out of 88 responses only)</t>
  </si>
  <si>
    <t>anomic (rec. broca's)</t>
  </si>
  <si>
    <t>174</t>
  </si>
  <si>
    <t>CT</t>
    <phoneticPr fontId="0" type="noConversion"/>
  </si>
  <si>
    <t>Broca's</t>
    <phoneticPr fontId="0"/>
  </si>
  <si>
    <t>mod-severe</t>
    <phoneticPr fontId="0"/>
  </si>
  <si>
    <t>FAIL in right ear</t>
    <phoneticPr fontId="0"/>
  </si>
  <si>
    <t>No</t>
    <phoneticPr fontId="0"/>
  </si>
  <si>
    <t>na</t>
    <phoneticPr fontId="0"/>
  </si>
  <si>
    <t>not enough output</t>
    <phoneticPr fontId="0"/>
  </si>
  <si>
    <t>DB/AB</t>
    <phoneticPr fontId="0"/>
  </si>
  <si>
    <t>TCM</t>
  </si>
  <si>
    <t>output too sparse</t>
    <phoneticPr fontId="0"/>
  </si>
  <si>
    <t>33 (actualy 14)</t>
    <phoneticPr fontId="0"/>
  </si>
  <si>
    <t>55 (23%)</t>
    <phoneticPr fontId="0"/>
  </si>
  <si>
    <t>46 (atually 14)</t>
    <phoneticPr fontId="0"/>
  </si>
  <si>
    <t>77 (23%)</t>
    <phoneticPr fontId="0"/>
  </si>
  <si>
    <t>Jesse</t>
  </si>
  <si>
    <t>CT-clinical</t>
    <phoneticPr fontId="0" type="noConversion"/>
  </si>
  <si>
    <t>wernicke's</t>
  </si>
  <si>
    <t>PRT tape is too degraded</t>
  </si>
  <si>
    <t>0 (out of 88 responses only)</t>
  </si>
  <si>
    <t>AA-H</t>
  </si>
  <si>
    <t>spanish</t>
  </si>
  <si>
    <t>sparse output, may not have enough narrative words</t>
  </si>
  <si>
    <t>Lba/GW</t>
  </si>
  <si>
    <t>Anomic</t>
  </si>
  <si>
    <t>moderate</t>
  </si>
  <si>
    <t xml:space="preserve">GW </t>
  </si>
  <si>
    <t>very sparse output</t>
  </si>
  <si>
    <t>PCA profile-anomic</t>
    <phoneticPr fontId="0"/>
  </si>
  <si>
    <t>AA</t>
    <phoneticPr fontId="0"/>
  </si>
  <si>
    <t>JG</t>
    <phoneticPr fontId="0"/>
  </si>
  <si>
    <t>Fail-Right field cut</t>
    <phoneticPr fontId="0"/>
  </si>
  <si>
    <t>PRT not scored- hearing problems</t>
  </si>
  <si>
    <t>severe</t>
  </si>
  <si>
    <t>PRT not scored- nonverbal</t>
  </si>
  <si>
    <t>AA-Asian</t>
  </si>
  <si>
    <t>bengali</t>
  </si>
  <si>
    <t>JG</t>
  </si>
  <si>
    <t>not in battery at this time</t>
  </si>
  <si>
    <t>AB/LBr</t>
  </si>
  <si>
    <t>global</t>
  </si>
  <si>
    <t>mod-severe</t>
  </si>
  <si>
    <t xml:space="preserve">KG </t>
  </si>
  <si>
    <t>29 (actually 7)</t>
    <phoneticPr fontId="0"/>
  </si>
  <si>
    <t>48 (12%)</t>
    <phoneticPr fontId="0"/>
  </si>
  <si>
    <t>LBr</t>
  </si>
  <si>
    <t xml:space="preserve">Anomic </t>
  </si>
  <si>
    <t xml:space="preserve">mod </t>
  </si>
  <si>
    <t>While it says these were administered, there is a note in participant folder saying the patient was unable to perform the task</t>
  </si>
  <si>
    <t xml:space="preserve">AB/JN </t>
  </si>
  <si>
    <t>output too neologistic</t>
    <phoneticPr fontId="0"/>
  </si>
  <si>
    <t>MG</t>
  </si>
  <si>
    <t xml:space="preserve">AA </t>
  </si>
  <si>
    <t>Conduction</t>
  </si>
  <si>
    <t>creole</t>
  </si>
  <si>
    <t>conduction</t>
    <phoneticPr fontId="0"/>
  </si>
  <si>
    <t>TCM</t>
    <phoneticPr fontId="0"/>
  </si>
  <si>
    <t>Kgarvey</t>
    <phoneticPr fontId="0"/>
  </si>
  <si>
    <t>WNL</t>
    <phoneticPr fontId="0"/>
  </si>
  <si>
    <t>PP</t>
    <phoneticPr fontId="0"/>
  </si>
  <si>
    <t>MG</t>
    <phoneticPr fontId="0"/>
  </si>
  <si>
    <t>3T MRI</t>
  </si>
  <si>
    <t>Abritt</t>
    <phoneticPr fontId="0"/>
  </si>
  <si>
    <t>story structure aided fluency</t>
    <phoneticPr fontId="0"/>
  </si>
  <si>
    <t>wernicke's</t>
    <phoneticPr fontId="0"/>
  </si>
  <si>
    <t>will be tough</t>
    <phoneticPr fontId="0"/>
  </si>
  <si>
    <t xml:space="preserve">JG </t>
    <phoneticPr fontId="0"/>
  </si>
  <si>
    <t>Transcortical Motor (acts like Broca's)</t>
  </si>
  <si>
    <t>mod</t>
    <phoneticPr fontId="0"/>
  </si>
  <si>
    <t>Partial</t>
    <phoneticPr fontId="0"/>
  </si>
  <si>
    <t>could not do probes w/o a picture-discontinued task</t>
    <phoneticPr fontId="0"/>
  </si>
  <si>
    <t xml:space="preserve">mod </t>
    <phoneticPr fontId="0"/>
  </si>
  <si>
    <t>very sparse output; weak sample possible</t>
    <phoneticPr fontId="0"/>
  </si>
  <si>
    <t>attempted but 150 narrative words were not attainable</t>
    <phoneticPr fontId="0"/>
  </si>
  <si>
    <t>P (but legally blind in left eye; complication of DM)</t>
    <phoneticPr fontId="0"/>
  </si>
  <si>
    <t>no ability to provide connected speech outside of automatisms</t>
    <phoneticPr fontId="0"/>
  </si>
  <si>
    <t>Kga</t>
    <phoneticPr fontId="0"/>
  </si>
  <si>
    <t>7 (only 88 responses)</t>
  </si>
  <si>
    <t>attempt</t>
    <phoneticPr fontId="0"/>
  </si>
  <si>
    <t>no content</t>
    <phoneticPr fontId="0"/>
  </si>
  <si>
    <t>Wernicke's</t>
    <phoneticPr fontId="0"/>
  </si>
  <si>
    <t>very sparse output</t>
    <phoneticPr fontId="0"/>
  </si>
  <si>
    <t>can have 3T+</t>
  </si>
  <si>
    <t>Conduction</t>
    <phoneticPr fontId="0"/>
  </si>
  <si>
    <t>Audio files are broken up into Day 1 and Day 2 but there is only a date for Day 2</t>
  </si>
  <si>
    <t>CT-clinical</t>
  </si>
  <si>
    <t>Anomic (like TCM)</t>
  </si>
  <si>
    <t>TCS</t>
  </si>
  <si>
    <t>on old VHS tape-no digital copy</t>
    <phoneticPr fontId="0"/>
  </si>
  <si>
    <t>day 1 only LB did not finish</t>
  </si>
  <si>
    <t>AB/Lba</t>
  </si>
  <si>
    <t xml:space="preserve">CT </t>
  </si>
  <si>
    <t>MRI (1.5T)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</si>
</sst>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.000"/>
    <numFmt numFmtId="165" formatCode="m/d/yy;@"/>
    <numFmt numFmtId="166" formatCode="0.000"/>
    <numFmt numFmtId="167" formatCode="m/d/yyyy;@"/>
    <numFmt numFmtId="168" formatCode="0.0"/>
  </numFmts>
  <fonts count="27"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0"/>
      <name val="Arial"/>
    </font>
    <font>
      <strike/>
      <sz val="24"/>
      <name val="Arial"/>
      <family val="2"/>
    </font>
    <font>
      <sz val="11"/>
      <color theme="1"/>
      <name val="Times New Roman"/>
      <family val="1"/>
    </font>
    <font>
      <sz val="24"/>
      <name val="Times New Roman"/>
      <family val="1"/>
    </font>
    <font>
      <vertAlign val="superscript"/>
      <sz val="11"/>
      <name val="Times New Roman"/>
      <family val="1"/>
    </font>
    <font>
      <sz val="11"/>
      <color indexed="10"/>
      <name val="Times New Roman"/>
      <family val="1"/>
    </font>
    <font>
      <sz val="11"/>
      <name val="Verdana"/>
      <family val="2"/>
    </font>
    <font>
      <u/>
      <sz val="11"/>
      <name val="Times New Roman"/>
      <family val="1"/>
    </font>
    <font>
      <b/>
      <sz val="11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name val="Verdana"/>
      <family val="2"/>
    </font>
    <font>
      <sz val="12"/>
      <color rgb="FF000000"/>
      <name val="Calibri"/>
      <family val="2"/>
    </font>
    <font>
      <sz val="11"/>
      <color rgb="FF00000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10"/>
      <color indexed="10"/>
      <name val="Times New Roman"/>
      <family val="1"/>
    </font>
    <font>
      <sz val="6"/>
      <name val="Verdana"/>
      <family val="2"/>
    </font>
    <font>
      <sz val="9"/>
      <name val="Geneva"/>
      <family val="2"/>
    </font>
    <font>
      <sz val="24"/>
      <name val="Arial"/>
      <family val="2"/>
    </font>
    <font>
      <sz val="24"/>
      <color indexed="10"/>
      <name val="Times New Roman"/>
      <family val="1"/>
    </font>
    <font>
      <sz val="24"/>
      <name val="Verdana"/>
      <family val="2"/>
    </font>
    <font>
      <sz val="12"/>
      <name val="Times New Roman"/>
      <family val="1"/>
    </font>
    <font>
      <sz val="18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EF8A"/>
        <bgColor indexed="64"/>
      </patternFill>
    </fill>
    <fill>
      <patternFill patternType="solid">
        <fgColor rgb="FF92CDDC"/>
        <bgColor rgb="FF000000"/>
      </patternFill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18"/>
      </left>
      <right style="medium">
        <color indexed="18"/>
      </right>
      <top style="medium">
        <color indexed="18"/>
      </top>
      <bottom style="medium">
        <color indexed="18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 style="medium">
        <color indexed="12"/>
      </bottom>
      <diagonal/>
    </border>
    <border>
      <left style="medium">
        <color indexed="18"/>
      </left>
      <right/>
      <top style="medium">
        <color indexed="18"/>
      </top>
      <bottom style="medium">
        <color indexed="18"/>
      </bottom>
      <diagonal/>
    </border>
    <border>
      <left/>
      <right style="medium">
        <color indexed="18"/>
      </right>
      <top style="medium">
        <color indexed="18"/>
      </top>
      <bottom style="medium">
        <color indexed="1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8">
    <xf numFmtId="0" fontId="0" fillId="0" borderId="0" xfId="0"/>
    <xf numFmtId="0" fontId="1" fillId="0" borderId="0" xfId="0" applyFont="1" applyAlignment="1">
      <alignment horizontal="left" wrapText="1"/>
    </xf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17" fontId="3" fillId="0" borderId="0" xfId="0" applyNumberFormat="1" applyFont="1" applyAlignment="1">
      <alignment horizontal="left"/>
    </xf>
    <xf numFmtId="14" fontId="1" fillId="0" borderId="0" xfId="0" applyNumberFormat="1" applyFont="1" applyAlignment="1">
      <alignment horizontal="left" wrapText="1"/>
    </xf>
    <xf numFmtId="14" fontId="1" fillId="2" borderId="0" xfId="0" applyNumberFormat="1" applyFont="1" applyFill="1" applyAlignment="1">
      <alignment horizontal="left" wrapText="1"/>
    </xf>
    <xf numFmtId="14" fontId="1" fillId="5" borderId="0" xfId="0" applyNumberFormat="1" applyFont="1" applyFill="1" applyAlignment="1">
      <alignment horizontal="left" wrapText="1"/>
    </xf>
    <xf numFmtId="0" fontId="5" fillId="5" borderId="0" xfId="0" applyFont="1" applyFill="1" applyAlignment="1">
      <alignment horizontal="left"/>
    </xf>
    <xf numFmtId="14" fontId="1" fillId="2" borderId="0" xfId="0" applyNumberFormat="1" applyFont="1" applyFill="1" applyAlignment="1">
      <alignment horizontal="left"/>
    </xf>
    <xf numFmtId="0" fontId="1" fillId="5" borderId="0" xfId="0" applyFont="1" applyFill="1" applyAlignment="1">
      <alignment horizontal="left"/>
    </xf>
    <xf numFmtId="14" fontId="1" fillId="5" borderId="0" xfId="0" applyNumberFormat="1" applyFont="1" applyFill="1" applyAlignment="1">
      <alignment horizontal="left"/>
    </xf>
    <xf numFmtId="0" fontId="1" fillId="5" borderId="0" xfId="0" applyFont="1" applyFill="1" applyAlignment="1">
      <alignment horizontal="left" wrapText="1"/>
    </xf>
    <xf numFmtId="0" fontId="1" fillId="4" borderId="0" xfId="0" applyFont="1" applyFill="1" applyAlignment="1">
      <alignment horizontal="left"/>
    </xf>
    <xf numFmtId="0" fontId="1" fillId="7" borderId="0" xfId="0" applyFont="1" applyFill="1" applyAlignment="1">
      <alignment horizontal="left" wrapText="1"/>
    </xf>
    <xf numFmtId="0" fontId="1" fillId="8" borderId="0" xfId="0" applyFont="1" applyFill="1" applyAlignment="1">
      <alignment horizontal="left" wrapText="1"/>
    </xf>
    <xf numFmtId="164" fontId="3" fillId="0" borderId="0" xfId="0" applyNumberFormat="1" applyFont="1" applyAlignment="1">
      <alignment horizontal="left" wrapText="1"/>
    </xf>
    <xf numFmtId="164" fontId="1" fillId="7" borderId="0" xfId="0" applyNumberFormat="1" applyFont="1" applyFill="1" applyAlignment="1">
      <alignment horizontal="left" wrapText="1"/>
    </xf>
    <xf numFmtId="164" fontId="1" fillId="0" borderId="0" xfId="0" applyNumberFormat="1" applyFont="1" applyAlignment="1">
      <alignment horizontal="left" wrapText="1"/>
    </xf>
    <xf numFmtId="1" fontId="1" fillId="7" borderId="0" xfId="0" applyNumberFormat="1" applyFont="1" applyFill="1" applyAlignment="1">
      <alignment horizontal="left" wrapText="1"/>
    </xf>
    <xf numFmtId="0" fontId="1" fillId="9" borderId="0" xfId="0" applyFont="1" applyFill="1" applyAlignment="1">
      <alignment horizontal="left" wrapText="1"/>
    </xf>
    <xf numFmtId="1" fontId="1" fillId="0" borderId="0" xfId="0" applyNumberFormat="1" applyFont="1" applyAlignment="1">
      <alignment horizontal="center" wrapText="1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left" wrapText="1"/>
    </xf>
    <xf numFmtId="1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left" wrapText="1"/>
    </xf>
    <xf numFmtId="0" fontId="11" fillId="0" borderId="0" xfId="0" applyFont="1" applyAlignment="1">
      <alignment horizontal="left" wrapText="1"/>
    </xf>
    <xf numFmtId="166" fontId="1" fillId="0" borderId="0" xfId="0" applyNumberFormat="1" applyFont="1" applyAlignment="1">
      <alignment horizontal="left" wrapText="1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left" wrapText="1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1" fillId="8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14" fontId="3" fillId="2" borderId="0" xfId="0" applyNumberFormat="1" applyFont="1" applyFill="1" applyAlignment="1">
      <alignment horizontal="left"/>
    </xf>
    <xf numFmtId="0" fontId="3" fillId="2" borderId="0" xfId="0" applyFont="1" applyFill="1" applyAlignment="1">
      <alignment horizontal="left" wrapText="1"/>
    </xf>
    <xf numFmtId="0" fontId="1" fillId="2" borderId="0" xfId="0" applyFont="1" applyFill="1" applyAlignment="1">
      <alignment horizontal="left" wrapText="1"/>
    </xf>
    <xf numFmtId="164" fontId="3" fillId="2" borderId="0" xfId="0" applyNumberFormat="1" applyFont="1" applyFill="1" applyAlignment="1">
      <alignment horizontal="left"/>
    </xf>
    <xf numFmtId="1" fontId="3" fillId="2" borderId="0" xfId="0" applyNumberFormat="1" applyFont="1" applyFill="1" applyAlignment="1">
      <alignment horizontal="left" wrapText="1"/>
    </xf>
    <xf numFmtId="164" fontId="3" fillId="2" borderId="0" xfId="0" applyNumberFormat="1" applyFont="1" applyFill="1" applyAlignment="1">
      <alignment horizontal="left" wrapText="1"/>
    </xf>
    <xf numFmtId="1" fontId="1" fillId="2" borderId="0" xfId="0" applyNumberFormat="1" applyFont="1" applyFill="1" applyAlignment="1">
      <alignment horizontal="left" wrapText="1"/>
    </xf>
    <xf numFmtId="167" fontId="3" fillId="2" borderId="0" xfId="0" applyNumberFormat="1" applyFont="1" applyFill="1" applyAlignment="1">
      <alignment horizontal="left" wrapText="1"/>
    </xf>
    <xf numFmtId="0" fontId="11" fillId="2" borderId="0" xfId="0" applyFont="1" applyFill="1" applyAlignment="1">
      <alignment horizontal="left" wrapText="1"/>
    </xf>
    <xf numFmtId="166" fontId="1" fillId="2" borderId="0" xfId="0" applyNumberFormat="1" applyFont="1" applyFill="1" applyAlignment="1">
      <alignment horizontal="left" wrapText="1"/>
    </xf>
    <xf numFmtId="1" fontId="1" fillId="2" borderId="0" xfId="0" applyNumberFormat="1" applyFont="1" applyFill="1" applyAlignment="1">
      <alignment horizontal="center" wrapText="1"/>
    </xf>
    <xf numFmtId="0" fontId="3" fillId="2" borderId="0" xfId="0" applyFont="1" applyFill="1" applyAlignment="1">
      <alignment horizontal="center"/>
    </xf>
    <xf numFmtId="0" fontId="8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wrapText="1"/>
    </xf>
    <xf numFmtId="1" fontId="1" fillId="0" borderId="0" xfId="0" applyNumberFormat="1" applyFont="1" applyAlignment="1">
      <alignment horizontal="left"/>
    </xf>
    <xf numFmtId="0" fontId="3" fillId="0" borderId="0" xfId="0" applyFont="1" applyAlignment="1">
      <alignment horizontal="left" vertical="top"/>
    </xf>
    <xf numFmtId="0" fontId="1" fillId="3" borderId="0" xfId="0" applyFont="1" applyFill="1" applyAlignment="1">
      <alignment horizontal="left"/>
    </xf>
    <xf numFmtId="14" fontId="12" fillId="2" borderId="0" xfId="0" applyNumberFormat="1" applyFont="1" applyFill="1" applyAlignment="1">
      <alignment horizontal="left" wrapText="1"/>
    </xf>
    <xf numFmtId="1" fontId="3" fillId="2" borderId="0" xfId="0" applyNumberFormat="1" applyFont="1" applyFill="1" applyAlignment="1">
      <alignment horizontal="left"/>
    </xf>
    <xf numFmtId="1" fontId="1" fillId="2" borderId="0" xfId="0" applyNumberFormat="1" applyFont="1" applyFill="1" applyAlignment="1">
      <alignment horizontal="left"/>
    </xf>
    <xf numFmtId="0" fontId="3" fillId="2" borderId="0" xfId="0" applyFont="1" applyFill="1" applyAlignment="1">
      <alignment horizontal="left" vertical="top"/>
    </xf>
    <xf numFmtId="0" fontId="0" fillId="2" borderId="0" xfId="0" applyFill="1"/>
    <xf numFmtId="0" fontId="3" fillId="5" borderId="0" xfId="0" applyFont="1" applyFill="1" applyAlignment="1">
      <alignment horizontal="left"/>
    </xf>
    <xf numFmtId="164" fontId="3" fillId="5" borderId="0" xfId="0" applyNumberFormat="1" applyFont="1" applyFill="1" applyAlignment="1">
      <alignment horizontal="left"/>
    </xf>
    <xf numFmtId="164" fontId="1" fillId="5" borderId="0" xfId="0" applyNumberFormat="1" applyFont="1" applyFill="1" applyAlignment="1">
      <alignment horizontal="left"/>
    </xf>
    <xf numFmtId="1" fontId="1" fillId="5" borderId="0" xfId="0" applyNumberFormat="1" applyFont="1" applyFill="1" applyAlignment="1">
      <alignment horizontal="left"/>
    </xf>
    <xf numFmtId="164" fontId="1" fillId="5" borderId="0" xfId="0" applyNumberFormat="1" applyFont="1" applyFill="1" applyAlignment="1">
      <alignment horizontal="left" wrapText="1"/>
    </xf>
    <xf numFmtId="1" fontId="1" fillId="5" borderId="0" xfId="0" applyNumberFormat="1" applyFont="1" applyFill="1" applyAlignment="1">
      <alignment horizontal="left" wrapText="1"/>
    </xf>
    <xf numFmtId="166" fontId="1" fillId="5" borderId="0" xfId="0" applyNumberFormat="1" applyFont="1" applyFill="1" applyAlignment="1">
      <alignment horizontal="left" wrapText="1"/>
    </xf>
    <xf numFmtId="0" fontId="0" fillId="5" borderId="0" xfId="0" applyFill="1" applyAlignment="1">
      <alignment horizontal="right"/>
    </xf>
    <xf numFmtId="1" fontId="1" fillId="5" borderId="0" xfId="0" applyNumberFormat="1" applyFont="1" applyFill="1" applyAlignment="1">
      <alignment horizontal="center" wrapText="1"/>
    </xf>
    <xf numFmtId="0" fontId="3" fillId="5" borderId="0" xfId="0" applyFont="1" applyFill="1" applyAlignment="1">
      <alignment horizontal="left" vertical="top"/>
    </xf>
    <xf numFmtId="0" fontId="0" fillId="5" borderId="0" xfId="0" applyFill="1" applyAlignment="1">
      <alignment horizontal="center"/>
    </xf>
    <xf numFmtId="166" fontId="0" fillId="5" borderId="0" xfId="0" applyNumberFormat="1" applyFill="1" applyAlignment="1">
      <alignment horizontal="center"/>
    </xf>
    <xf numFmtId="14" fontId="12" fillId="0" borderId="0" xfId="0" applyNumberFormat="1" applyFont="1" applyAlignment="1">
      <alignment horizontal="left" wrapText="1"/>
    </xf>
    <xf numFmtId="14" fontId="1" fillId="8" borderId="0" xfId="0" applyNumberFormat="1" applyFont="1" applyFill="1" applyAlignment="1">
      <alignment horizontal="left"/>
    </xf>
    <xf numFmtId="164" fontId="1" fillId="10" borderId="0" xfId="0" applyNumberFormat="1" applyFont="1" applyFill="1" applyAlignment="1">
      <alignment horizontal="left"/>
    </xf>
    <xf numFmtId="164" fontId="1" fillId="0" borderId="1" xfId="0" applyNumberFormat="1" applyFont="1" applyBorder="1" applyAlignment="1">
      <alignment horizontal="left"/>
    </xf>
    <xf numFmtId="165" fontId="1" fillId="0" borderId="0" xfId="0" applyNumberFormat="1" applyFont="1" applyAlignment="1">
      <alignment horizontal="left"/>
    </xf>
    <xf numFmtId="164" fontId="5" fillId="5" borderId="0" xfId="0" applyNumberFormat="1" applyFont="1" applyFill="1" applyAlignment="1">
      <alignment horizontal="left"/>
    </xf>
    <xf numFmtId="0" fontId="5" fillId="5" borderId="0" xfId="0" applyFont="1" applyFill="1" applyAlignment="1">
      <alignment horizontal="center"/>
    </xf>
    <xf numFmtId="0" fontId="5" fillId="8" borderId="0" xfId="0" applyFont="1" applyFill="1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8" fillId="2" borderId="0" xfId="0" applyFont="1" applyFill="1" applyAlignment="1">
      <alignment horizontal="left" wrapText="1"/>
    </xf>
    <xf numFmtId="14" fontId="12" fillId="3" borderId="0" xfId="0" applyNumberFormat="1" applyFont="1" applyFill="1" applyAlignment="1">
      <alignment horizontal="left" wrapText="1"/>
    </xf>
    <xf numFmtId="164" fontId="1" fillId="3" borderId="0" xfId="0" applyNumberFormat="1" applyFont="1" applyFill="1" applyAlignment="1">
      <alignment horizontal="left"/>
    </xf>
    <xf numFmtId="1" fontId="1" fillId="3" borderId="0" xfId="0" applyNumberFormat="1" applyFont="1" applyFill="1" applyAlignment="1">
      <alignment horizontal="left"/>
    </xf>
    <xf numFmtId="166" fontId="1" fillId="3" borderId="0" xfId="0" applyNumberFormat="1" applyFont="1" applyFill="1" applyAlignment="1">
      <alignment horizontal="left" wrapText="1"/>
    </xf>
    <xf numFmtId="0" fontId="1" fillId="3" borderId="0" xfId="0" applyFont="1" applyFill="1" applyAlignment="1">
      <alignment horizontal="left" wrapText="1"/>
    </xf>
    <xf numFmtId="1" fontId="1" fillId="3" borderId="0" xfId="0" applyNumberFormat="1" applyFont="1" applyFill="1" applyAlignment="1">
      <alignment horizontal="center" wrapText="1"/>
    </xf>
    <xf numFmtId="0" fontId="1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center"/>
    </xf>
    <xf numFmtId="0" fontId="0" fillId="3" borderId="0" xfId="0" applyFill="1"/>
    <xf numFmtId="164" fontId="3" fillId="11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center"/>
    </xf>
    <xf numFmtId="14" fontId="12" fillId="5" borderId="0" xfId="0" applyNumberFormat="1" applyFont="1" applyFill="1" applyAlignment="1">
      <alignment horizontal="left" wrapText="1"/>
    </xf>
    <xf numFmtId="0" fontId="3" fillId="5" borderId="0" xfId="0" applyFont="1" applyFill="1" applyAlignment="1">
      <alignment horizontal="left" wrapText="1"/>
    </xf>
    <xf numFmtId="0" fontId="8" fillId="5" borderId="0" xfId="0" applyFont="1" applyFill="1" applyAlignment="1">
      <alignment horizontal="left" wrapText="1"/>
    </xf>
    <xf numFmtId="0" fontId="0" fillId="5" borderId="0" xfId="0" applyFill="1"/>
    <xf numFmtId="0" fontId="8" fillId="4" borderId="0" xfId="0" applyFont="1" applyFill="1" applyAlignment="1">
      <alignment horizontal="left" wrapText="1"/>
    </xf>
    <xf numFmtId="164" fontId="3" fillId="8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2" fontId="1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1" fontId="1" fillId="5" borderId="0" xfId="0" applyNumberFormat="1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4" fillId="5" borderId="0" xfId="0" applyFont="1" applyFill="1"/>
    <xf numFmtId="0" fontId="15" fillId="5" borderId="0" xfId="0" applyFont="1" applyFill="1" applyAlignment="1">
      <alignment horizontal="center" vertical="center"/>
    </xf>
    <xf numFmtId="0" fontId="1" fillId="0" borderId="0" xfId="0" quotePrefix="1" applyFont="1" applyAlignment="1">
      <alignment horizontal="left" wrapText="1"/>
    </xf>
    <xf numFmtId="0" fontId="1" fillId="2" borderId="0" xfId="0" quotePrefix="1" applyFont="1" applyFill="1" applyAlignment="1">
      <alignment horizontal="left" wrapText="1"/>
    </xf>
    <xf numFmtId="1" fontId="0" fillId="0" borderId="0" xfId="0" applyNumberFormat="1" applyAlignment="1">
      <alignment horizontal="left"/>
    </xf>
    <xf numFmtId="0" fontId="3" fillId="0" borderId="0" xfId="0" applyFont="1"/>
    <xf numFmtId="0" fontId="8" fillId="0" borderId="0" xfId="0" applyFont="1" applyAlignment="1">
      <alignment horizontal="left"/>
    </xf>
    <xf numFmtId="164" fontId="3" fillId="3" borderId="0" xfId="0" applyNumberFormat="1" applyFont="1" applyFill="1" applyAlignment="1">
      <alignment horizontal="left"/>
    </xf>
    <xf numFmtId="1" fontId="1" fillId="3" borderId="0" xfId="0" applyNumberFormat="1" applyFont="1" applyFill="1" applyAlignment="1">
      <alignment horizontal="left" wrapText="1"/>
    </xf>
    <xf numFmtId="1" fontId="0" fillId="3" borderId="0" xfId="0" applyNumberFormat="1" applyFill="1" applyAlignment="1">
      <alignment horizontal="left"/>
    </xf>
    <xf numFmtId="164" fontId="1" fillId="3" borderId="0" xfId="0" applyNumberFormat="1" applyFont="1" applyFill="1" applyAlignment="1">
      <alignment horizontal="left" wrapText="1"/>
    </xf>
    <xf numFmtId="0" fontId="3" fillId="3" borderId="0" xfId="0" applyFont="1" applyFill="1"/>
    <xf numFmtId="0" fontId="8" fillId="3" borderId="0" xfId="0" applyFont="1" applyFill="1" applyAlignment="1">
      <alignment horizontal="left"/>
    </xf>
    <xf numFmtId="164" fontId="16" fillId="5" borderId="0" xfId="0" applyNumberFormat="1" applyFont="1" applyFill="1" applyAlignment="1">
      <alignment horizontal="left"/>
    </xf>
    <xf numFmtId="0" fontId="16" fillId="5" borderId="0" xfId="0" applyFont="1" applyFill="1" applyAlignment="1">
      <alignment horizontal="left"/>
    </xf>
    <xf numFmtId="1" fontId="5" fillId="5" borderId="0" xfId="0" applyNumberFormat="1" applyFont="1" applyFill="1" applyAlignment="1">
      <alignment horizontal="left"/>
    </xf>
    <xf numFmtId="0" fontId="17" fillId="0" borderId="0" xfId="0" applyFont="1" applyAlignment="1">
      <alignment horizontal="left"/>
    </xf>
    <xf numFmtId="1" fontId="17" fillId="0" borderId="0" xfId="0" applyNumberFormat="1" applyFont="1" applyAlignment="1">
      <alignment horizontal="left"/>
    </xf>
    <xf numFmtId="0" fontId="1" fillId="8" borderId="0" xfId="0" quotePrefix="1" applyFont="1" applyFill="1" applyAlignment="1">
      <alignment horizontal="left" wrapText="1"/>
    </xf>
    <xf numFmtId="0" fontId="18" fillId="0" borderId="0" xfId="0" applyFont="1" applyAlignment="1">
      <alignment horizontal="left"/>
    </xf>
    <xf numFmtId="164" fontId="1" fillId="0" borderId="2" xfId="0" applyNumberFormat="1" applyFont="1" applyBorder="1" applyAlignment="1">
      <alignment horizontal="left"/>
    </xf>
    <xf numFmtId="1" fontId="1" fillId="0" borderId="3" xfId="0" applyNumberFormat="1" applyFont="1" applyBorder="1" applyAlignment="1">
      <alignment horizontal="left" wrapText="1"/>
    </xf>
    <xf numFmtId="164" fontId="1" fillId="0" borderId="4" xfId="0" applyNumberFormat="1" applyFont="1" applyBorder="1" applyAlignment="1">
      <alignment horizontal="left"/>
    </xf>
    <xf numFmtId="0" fontId="19" fillId="0" borderId="0" xfId="0" applyFont="1" applyAlignment="1">
      <alignment horizontal="left"/>
    </xf>
    <xf numFmtId="0" fontId="15" fillId="5" borderId="0" xfId="0" applyFont="1" applyFill="1" applyAlignment="1">
      <alignment vertical="center"/>
    </xf>
    <xf numFmtId="1" fontId="1" fillId="0" borderId="2" xfId="0" applyNumberFormat="1" applyFont="1" applyBorder="1" applyAlignment="1">
      <alignment horizontal="left" wrapText="1"/>
    </xf>
    <xf numFmtId="164" fontId="1" fillId="0" borderId="2" xfId="0" applyNumberFormat="1" applyFont="1" applyBorder="1" applyAlignment="1">
      <alignment horizontal="left" wrapText="1"/>
    </xf>
    <xf numFmtId="164" fontId="1" fillId="0" borderId="5" xfId="0" applyNumberFormat="1" applyFont="1" applyBorder="1" applyAlignment="1">
      <alignment horizontal="left" wrapText="1"/>
    </xf>
    <xf numFmtId="164" fontId="1" fillId="0" borderId="6" xfId="0" applyNumberFormat="1" applyFont="1" applyBorder="1" applyAlignment="1">
      <alignment horizontal="left" wrapText="1"/>
    </xf>
    <xf numFmtId="0" fontId="3" fillId="2" borderId="0" xfId="0" applyFont="1" applyFill="1" applyAlignment="1">
      <alignment horizontal="center" wrapText="1"/>
    </xf>
    <xf numFmtId="0" fontId="0" fillId="0" borderId="0" xfId="0" applyAlignment="1">
      <alignment horizontal="center" wrapText="1"/>
    </xf>
    <xf numFmtId="168" fontId="1" fillId="0" borderId="0" xfId="0" applyNumberFormat="1" applyFont="1" applyAlignment="1">
      <alignment horizontal="left"/>
    </xf>
    <xf numFmtId="0" fontId="18" fillId="2" borderId="0" xfId="0" applyFont="1" applyFill="1" applyAlignment="1">
      <alignment horizontal="left"/>
    </xf>
    <xf numFmtId="0" fontId="3" fillId="12" borderId="0" xfId="0" applyFont="1" applyFill="1" applyAlignment="1">
      <alignment horizontal="left" wrapText="1"/>
    </xf>
    <xf numFmtId="164" fontId="3" fillId="12" borderId="0" xfId="0" applyNumberFormat="1" applyFont="1" applyFill="1" applyAlignment="1">
      <alignment horizontal="left"/>
    </xf>
    <xf numFmtId="1" fontId="3" fillId="12" borderId="0" xfId="0" applyNumberFormat="1" applyFont="1" applyFill="1" applyAlignment="1">
      <alignment horizontal="left" wrapText="1"/>
    </xf>
    <xf numFmtId="164" fontId="3" fillId="12" borderId="0" xfId="0" applyNumberFormat="1" applyFont="1" applyFill="1" applyAlignment="1">
      <alignment horizontal="left" wrapText="1"/>
    </xf>
    <xf numFmtId="0" fontId="3" fillId="12" borderId="0" xfId="0" applyFont="1" applyFill="1" applyAlignment="1">
      <alignment horizontal="left"/>
    </xf>
    <xf numFmtId="1" fontId="3" fillId="0" borderId="0" xfId="0" applyNumberFormat="1" applyFont="1" applyAlignment="1">
      <alignment horizontal="left" wrapText="1"/>
    </xf>
    <xf numFmtId="164" fontId="1" fillId="10" borderId="0" xfId="0" applyNumberFormat="1" applyFont="1" applyFill="1" applyAlignment="1">
      <alignment horizontal="left" wrapText="1"/>
    </xf>
    <xf numFmtId="0" fontId="13" fillId="0" borderId="0" xfId="0" applyFont="1" applyAlignment="1">
      <alignment horizontal="left" wrapText="1"/>
    </xf>
    <xf numFmtId="0" fontId="1" fillId="5" borderId="0" xfId="0" applyFont="1" applyFill="1" applyAlignment="1">
      <alignment horizontal="center" wrapText="1"/>
    </xf>
    <xf numFmtId="164" fontId="1" fillId="2" borderId="0" xfId="0" applyNumberFormat="1" applyFont="1" applyFill="1" applyAlignment="1">
      <alignment horizontal="left"/>
    </xf>
    <xf numFmtId="1" fontId="1" fillId="2" borderId="0" xfId="0" applyNumberFormat="1" applyFont="1" applyFill="1" applyAlignment="1">
      <alignment horizontal="center"/>
    </xf>
    <xf numFmtId="0" fontId="20" fillId="2" borderId="0" xfId="0" applyFont="1" applyFill="1" applyAlignment="1">
      <alignment wrapText="1"/>
    </xf>
    <xf numFmtId="0" fontId="1" fillId="13" borderId="0" xfId="0" applyFont="1" applyFill="1" applyAlignment="1">
      <alignment horizontal="left"/>
    </xf>
    <xf numFmtId="166" fontId="1" fillId="5" borderId="0" xfId="0" applyNumberFormat="1" applyFont="1" applyFill="1" applyAlignment="1">
      <alignment horizontal="center" wrapText="1"/>
    </xf>
    <xf numFmtId="0" fontId="1" fillId="5" borderId="0" xfId="0" applyFont="1" applyFill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0" fontId="12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8" fillId="3" borderId="0" xfId="0" applyFont="1" applyFill="1" applyAlignment="1">
      <alignment horizontal="left" wrapText="1"/>
    </xf>
    <xf numFmtId="0" fontId="1" fillId="6" borderId="0" xfId="0" applyFont="1" applyFill="1" applyAlignment="1">
      <alignment horizontal="left"/>
    </xf>
    <xf numFmtId="0" fontId="1" fillId="0" borderId="0" xfId="0" applyFont="1" applyAlignment="1">
      <alignment horizontal="center"/>
    </xf>
    <xf numFmtId="1" fontId="3" fillId="0" borderId="0" xfId="0" applyNumberFormat="1" applyFont="1" applyAlignment="1">
      <alignment horizontal="left"/>
    </xf>
    <xf numFmtId="14" fontId="3" fillId="14" borderId="0" xfId="0" applyNumberFormat="1" applyFont="1" applyFill="1" applyAlignment="1">
      <alignment horizontal="left" wrapText="1"/>
    </xf>
    <xf numFmtId="164" fontId="1" fillId="6" borderId="0" xfId="0" applyNumberFormat="1" applyFont="1" applyFill="1" applyAlignment="1">
      <alignment horizontal="left"/>
    </xf>
    <xf numFmtId="1" fontId="1" fillId="6" borderId="0" xfId="0" applyNumberFormat="1" applyFont="1" applyFill="1" applyAlignment="1">
      <alignment horizontal="left"/>
    </xf>
    <xf numFmtId="1" fontId="1" fillId="6" borderId="0" xfId="0" applyNumberFormat="1" applyFont="1" applyFill="1" applyAlignment="1">
      <alignment horizontal="center" wrapText="1"/>
    </xf>
    <xf numFmtId="2" fontId="1" fillId="6" borderId="0" xfId="0" applyNumberFormat="1" applyFont="1" applyFill="1" applyAlignment="1">
      <alignment horizontal="left"/>
    </xf>
    <xf numFmtId="0" fontId="1" fillId="6" borderId="0" xfId="0" applyFont="1" applyFill="1" applyAlignment="1">
      <alignment horizontal="center"/>
    </xf>
    <xf numFmtId="0" fontId="8" fillId="6" borderId="0" xfId="0" applyFont="1" applyFill="1" applyAlignment="1">
      <alignment horizontal="left"/>
    </xf>
    <xf numFmtId="0" fontId="0" fillId="6" borderId="0" xfId="0" applyFill="1"/>
    <xf numFmtId="165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left"/>
    </xf>
    <xf numFmtId="0" fontId="1" fillId="14" borderId="0" xfId="0" applyFont="1" applyFill="1" applyAlignment="1">
      <alignment horizontal="left"/>
    </xf>
    <xf numFmtId="0" fontId="21" fillId="0" borderId="0" xfId="0" applyFont="1" applyAlignment="1">
      <alignment horizontal="left" wrapText="1"/>
    </xf>
    <xf numFmtId="0" fontId="14" fillId="2" borderId="0" xfId="0" applyFont="1" applyFill="1"/>
    <xf numFmtId="1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left"/>
    </xf>
    <xf numFmtId="0" fontId="22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8" borderId="0" xfId="0" applyFont="1" applyFill="1" applyAlignment="1">
      <alignment horizontal="left"/>
    </xf>
    <xf numFmtId="164" fontId="6" fillId="0" borderId="0" xfId="0" applyNumberFormat="1" applyFont="1" applyAlignment="1">
      <alignment horizontal="left"/>
    </xf>
    <xf numFmtId="1" fontId="6" fillId="0" borderId="0" xfId="0" applyNumberFormat="1" applyFont="1" applyAlignment="1">
      <alignment horizontal="left"/>
    </xf>
    <xf numFmtId="166" fontId="6" fillId="0" borderId="0" xfId="0" applyNumberFormat="1" applyFont="1" applyAlignment="1">
      <alignment horizontal="left" wrapText="1"/>
    </xf>
    <xf numFmtId="1" fontId="6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center"/>
    </xf>
    <xf numFmtId="0" fontId="23" fillId="0" borderId="0" xfId="0" applyFont="1" applyAlignment="1">
      <alignment horizontal="left" wrapText="1"/>
    </xf>
    <xf numFmtId="0" fontId="6" fillId="0" borderId="0" xfId="0" applyFont="1" applyAlignment="1">
      <alignment horizontal="left" wrapText="1"/>
    </xf>
    <xf numFmtId="0" fontId="24" fillId="0" borderId="0" xfId="0" applyFont="1"/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5" fillId="0" borderId="0" xfId="0" applyFont="1" applyAlignment="1">
      <alignment wrapText="1"/>
    </xf>
    <xf numFmtId="0" fontId="26" fillId="0" borderId="0" xfId="0" applyFont="1" applyAlignment="1">
      <alignment horizontal="left"/>
    </xf>
    <xf numFmtId="164" fontId="1" fillId="2" borderId="0" xfId="0" applyNumberFormat="1" applyFont="1" applyFill="1" applyAlignment="1">
      <alignment horizontal="left" wrapText="1"/>
    </xf>
    <xf numFmtId="0" fontId="17" fillId="2" borderId="0" xfId="0" applyFont="1" applyFill="1" applyAlignment="1">
      <alignment horizontal="left"/>
    </xf>
    <xf numFmtId="1" fontId="17" fillId="2" borderId="0" xfId="0" applyNumberFormat="1" applyFont="1" applyFill="1" applyAlignment="1">
      <alignment horizontal="left"/>
    </xf>
    <xf numFmtId="0" fontId="15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E8642-19A3-4EAB-95E0-72F47B278564}">
  <dimension ref="A1:IH15"/>
  <sheetViews>
    <sheetView workbookViewId="0">
      <selection activeCell="A16" sqref="A16"/>
    </sheetView>
  </sheetViews>
  <sheetFormatPr defaultRowHeight="15"/>
  <cols>
    <col min="1" max="1" width="18.28515625" customWidth="1"/>
  </cols>
  <sheetData>
    <row r="1" spans="1:242">
      <c r="A1" t="s">
        <v>0</v>
      </c>
    </row>
    <row r="4" spans="1:242">
      <c r="A4" t="s">
        <v>1</v>
      </c>
    </row>
    <row r="5" spans="1:242" s="3" customFormat="1" ht="26.1" customHeight="1">
      <c r="A5" s="177" t="s">
        <v>2</v>
      </c>
      <c r="B5" s="4"/>
      <c r="D5" s="1"/>
      <c r="O5" s="192"/>
      <c r="Q5" s="23"/>
      <c r="R5" s="72"/>
      <c r="S5" s="169"/>
      <c r="Z5" s="73"/>
      <c r="AA5" s="23"/>
      <c r="AE5" s="23"/>
      <c r="AF5" s="23"/>
      <c r="AG5" s="35"/>
      <c r="AH5" s="23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160"/>
      <c r="AW5" s="26"/>
      <c r="AX5" s="52"/>
      <c r="AY5" s="26"/>
      <c r="AZ5" s="26"/>
      <c r="BA5" s="26"/>
      <c r="BB5" s="26"/>
      <c r="BC5" s="26"/>
      <c r="BD5" s="26"/>
      <c r="BE5" s="51"/>
      <c r="BF5" s="51"/>
      <c r="BG5" s="23"/>
      <c r="BH5" s="23"/>
      <c r="BI5" s="23"/>
      <c r="BJ5" s="23"/>
      <c r="BL5" s="25"/>
      <c r="BM5" s="25"/>
      <c r="BN5" s="76"/>
      <c r="BP5" s="23"/>
      <c r="BS5" s="23"/>
      <c r="BV5" s="23"/>
      <c r="BX5" s="23"/>
      <c r="CA5" s="23"/>
      <c r="CC5" s="23"/>
      <c r="CD5" s="30"/>
      <c r="CE5" s="30"/>
      <c r="CH5" s="23"/>
      <c r="CJ5" s="23"/>
      <c r="CL5" s="23"/>
      <c r="CN5" s="23"/>
      <c r="CP5" s="23"/>
      <c r="CS5" s="23"/>
      <c r="CW5" s="21"/>
      <c r="CZ5" s="23"/>
      <c r="DF5" s="23"/>
      <c r="DG5" s="170"/>
      <c r="DJ5" s="23"/>
      <c r="DK5" s="23"/>
      <c r="DL5" s="1"/>
      <c r="DO5" s="159"/>
      <c r="DP5" s="159"/>
      <c r="DX5" s="1"/>
      <c r="DY5" s="1"/>
      <c r="EA5" s="49"/>
      <c r="EB5" s="49"/>
      <c r="EG5" s="112"/>
      <c r="EH5" s="112"/>
      <c r="EI5" s="112"/>
      <c r="EK5" s="1"/>
      <c r="FA5" s="35"/>
      <c r="FG5" s="35"/>
    </row>
    <row r="6" spans="1:242" s="3" customFormat="1" ht="23.1" customHeight="1">
      <c r="A6" s="193" t="s">
        <v>3</v>
      </c>
      <c r="B6" s="4" t="s">
        <v>4</v>
      </c>
      <c r="D6" s="1"/>
      <c r="O6" s="192"/>
      <c r="Q6" s="23"/>
      <c r="R6" s="72"/>
      <c r="S6" s="169"/>
      <c r="Z6" s="73"/>
      <c r="AA6" s="23"/>
      <c r="AE6" s="23"/>
      <c r="AF6" s="23"/>
      <c r="AG6" s="35"/>
      <c r="AH6" s="23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160"/>
      <c r="AW6" s="26"/>
      <c r="AX6" s="52"/>
      <c r="AY6" s="26"/>
      <c r="AZ6" s="26"/>
      <c r="BA6" s="26"/>
      <c r="BB6" s="26"/>
      <c r="BC6" s="26"/>
      <c r="BD6" s="26"/>
      <c r="BE6" s="51"/>
      <c r="BF6" s="51"/>
      <c r="BG6" s="23"/>
      <c r="BH6" s="23"/>
      <c r="BI6" s="23"/>
      <c r="BJ6" s="23"/>
      <c r="BL6" s="25"/>
      <c r="BM6" s="25"/>
      <c r="BN6" s="76"/>
      <c r="BP6" s="23"/>
      <c r="BS6" s="23"/>
      <c r="BV6" s="23"/>
      <c r="BX6" s="23"/>
      <c r="CA6" s="23"/>
      <c r="CC6" s="23"/>
      <c r="CD6" s="30"/>
      <c r="CE6" s="30"/>
      <c r="CH6" s="23"/>
      <c r="CJ6" s="23"/>
      <c r="CL6" s="23"/>
      <c r="CN6" s="23"/>
      <c r="CP6" s="23"/>
      <c r="CS6" s="23"/>
      <c r="CW6" s="21"/>
      <c r="CZ6" s="23"/>
      <c r="DF6" s="23"/>
      <c r="DG6" s="170"/>
      <c r="DJ6" s="23"/>
      <c r="DK6" s="23"/>
      <c r="DL6" s="1"/>
      <c r="DO6" s="159"/>
      <c r="DP6" s="159"/>
      <c r="DX6" s="1"/>
      <c r="DY6" s="1"/>
      <c r="EA6" s="49"/>
      <c r="EB6" s="49"/>
      <c r="EG6" s="112"/>
      <c r="EH6" s="112"/>
      <c r="EI6" s="112"/>
      <c r="EK6" s="1"/>
      <c r="FA6" s="35"/>
      <c r="FG6" s="35"/>
    </row>
    <row r="7" spans="1:242" s="3" customFormat="1" ht="36.950000000000003" customHeight="1">
      <c r="A7" s="2"/>
      <c r="B7" s="4" t="s">
        <v>5</v>
      </c>
      <c r="D7" s="1"/>
      <c r="O7" s="192"/>
      <c r="Q7" s="23"/>
      <c r="R7" s="72"/>
      <c r="S7" s="169"/>
      <c r="Z7" s="73"/>
      <c r="AA7" s="23"/>
      <c r="AE7" s="23"/>
      <c r="AF7" s="23"/>
      <c r="AG7" s="35"/>
      <c r="AH7" s="23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160"/>
      <c r="AW7" s="26"/>
      <c r="AX7" s="52"/>
      <c r="AY7" s="26"/>
      <c r="AZ7" s="26"/>
      <c r="BA7" s="26"/>
      <c r="BB7" s="26"/>
      <c r="BC7" s="26"/>
      <c r="BD7" s="26"/>
      <c r="BE7" s="51"/>
      <c r="BF7" s="51"/>
      <c r="BG7" s="23"/>
      <c r="BH7" s="23"/>
      <c r="BI7" s="23"/>
      <c r="BJ7" s="23"/>
      <c r="BL7" s="25"/>
      <c r="BM7" s="25"/>
      <c r="BN7" s="76"/>
      <c r="BP7" s="23"/>
      <c r="BS7" s="23"/>
      <c r="BV7" s="23"/>
      <c r="BX7" s="23"/>
      <c r="CA7" s="23"/>
      <c r="CC7" s="23"/>
      <c r="CD7" s="30"/>
      <c r="CE7" s="30"/>
      <c r="CH7" s="23"/>
      <c r="CJ7" s="23"/>
      <c r="CL7" s="23"/>
      <c r="CN7" s="23"/>
      <c r="CP7" s="23"/>
      <c r="CS7" s="23"/>
      <c r="CW7" s="21"/>
      <c r="CZ7" s="23"/>
      <c r="DF7" s="23"/>
      <c r="DG7" s="170"/>
      <c r="DJ7" s="23"/>
      <c r="DK7" s="23"/>
      <c r="DL7" s="1"/>
      <c r="DO7" s="159"/>
      <c r="DP7" s="159"/>
      <c r="DX7" s="1"/>
      <c r="DY7" s="1"/>
      <c r="EA7" s="49"/>
      <c r="EB7" s="49"/>
      <c r="EG7" s="112"/>
      <c r="EH7" s="112"/>
      <c r="EI7" s="112"/>
      <c r="EK7" s="1"/>
      <c r="FA7" s="35"/>
      <c r="FG7" s="35"/>
    </row>
    <row r="8" spans="1:242" s="2" customFormat="1" ht="39.950000000000003" customHeight="1">
      <c r="A8" s="54"/>
      <c r="B8" s="4" t="s">
        <v>6</v>
      </c>
      <c r="C8" s="3"/>
      <c r="D8" s="1"/>
      <c r="E8" s="3"/>
      <c r="F8" s="3"/>
      <c r="G8" s="3"/>
      <c r="H8" s="3"/>
      <c r="I8" s="3"/>
      <c r="J8" s="3"/>
      <c r="K8" s="3"/>
      <c r="L8" s="3"/>
      <c r="M8" s="3"/>
      <c r="N8" s="3"/>
      <c r="O8" s="192"/>
      <c r="P8" s="3"/>
      <c r="Q8" s="23"/>
      <c r="R8" s="72"/>
      <c r="S8" s="169"/>
      <c r="T8" s="3"/>
      <c r="U8" s="3"/>
      <c r="V8" s="3"/>
      <c r="W8" s="3"/>
      <c r="X8" s="3"/>
      <c r="Y8" s="3"/>
      <c r="Z8" s="73"/>
      <c r="AA8" s="23"/>
      <c r="AB8" s="3"/>
      <c r="AC8" s="3"/>
      <c r="AD8" s="3"/>
      <c r="AE8" s="23"/>
      <c r="AF8" s="23"/>
      <c r="AG8" s="35"/>
      <c r="AH8" s="23"/>
      <c r="AI8" s="3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160"/>
      <c r="AW8" s="26"/>
      <c r="AX8" s="52"/>
      <c r="AY8" s="26"/>
      <c r="AZ8" s="26"/>
      <c r="BA8" s="26"/>
      <c r="BB8" s="26"/>
      <c r="BC8" s="26"/>
      <c r="BD8" s="26"/>
      <c r="BE8" s="51"/>
      <c r="BF8" s="51"/>
      <c r="BG8" s="23"/>
      <c r="BH8" s="23"/>
      <c r="BI8" s="23"/>
      <c r="BJ8" s="23"/>
      <c r="BK8" s="3"/>
      <c r="BL8" s="25"/>
      <c r="BM8" s="25"/>
      <c r="BN8" s="76"/>
      <c r="BO8" s="3"/>
      <c r="BP8" s="23"/>
      <c r="BQ8" s="3"/>
      <c r="BR8" s="3"/>
      <c r="BS8" s="23"/>
      <c r="BT8" s="3"/>
      <c r="BU8" s="3"/>
      <c r="BV8" s="23"/>
      <c r="BW8" s="3"/>
      <c r="BX8" s="23"/>
      <c r="BY8" s="3"/>
      <c r="BZ8" s="3"/>
      <c r="CA8" s="23"/>
      <c r="CB8" s="3"/>
      <c r="CC8" s="23"/>
      <c r="CD8" s="30"/>
      <c r="CE8" s="30"/>
      <c r="CF8" s="3"/>
      <c r="CG8" s="3"/>
      <c r="CH8" s="23"/>
      <c r="CI8" s="3"/>
      <c r="CJ8" s="23"/>
      <c r="CK8" s="3"/>
      <c r="CL8" s="23"/>
      <c r="CM8" s="3"/>
      <c r="CN8" s="23"/>
      <c r="CO8" s="3"/>
      <c r="CP8" s="23"/>
      <c r="CQ8" s="3"/>
      <c r="CR8" s="3"/>
      <c r="CS8" s="23"/>
      <c r="CT8" s="3"/>
      <c r="CU8" s="3"/>
      <c r="CV8" s="3"/>
      <c r="CW8" s="21"/>
      <c r="CX8" s="3"/>
      <c r="CY8" s="3"/>
      <c r="CZ8" s="23"/>
      <c r="DA8" s="3"/>
      <c r="DB8" s="3"/>
      <c r="DC8" s="3"/>
      <c r="DD8" s="3"/>
      <c r="DE8" s="3"/>
      <c r="DF8" s="23"/>
      <c r="DG8" s="170"/>
      <c r="DH8" s="3"/>
      <c r="DI8" s="3"/>
      <c r="DJ8" s="23"/>
      <c r="DK8" s="23"/>
      <c r="DL8" s="1"/>
      <c r="DM8" s="3"/>
      <c r="DN8" s="175"/>
      <c r="DO8" s="159"/>
      <c r="DP8" s="159"/>
      <c r="DQ8" s="3"/>
      <c r="DR8" s="3"/>
      <c r="DS8" s="3"/>
      <c r="DT8" s="3"/>
      <c r="DU8" s="3"/>
      <c r="DV8" s="3"/>
      <c r="DW8" s="3"/>
      <c r="DX8" s="1"/>
      <c r="DY8" s="1"/>
      <c r="DZ8" s="3"/>
      <c r="EA8" s="49"/>
      <c r="EB8" s="49"/>
      <c r="EC8" s="3"/>
      <c r="ED8" s="3"/>
      <c r="EE8" s="3"/>
      <c r="EF8" s="3"/>
      <c r="EG8" s="112"/>
      <c r="EH8" s="112"/>
      <c r="EI8" s="112"/>
      <c r="EJ8" s="3"/>
      <c r="EK8" s="1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5"/>
      <c r="FB8" s="3"/>
      <c r="FC8" s="3"/>
      <c r="FD8" s="3"/>
      <c r="FE8" s="3"/>
      <c r="FF8" s="3"/>
      <c r="FG8" s="35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</row>
    <row r="9" spans="1:242" s="3" customFormat="1" ht="24" customHeight="1">
      <c r="A9" s="10"/>
      <c r="B9" s="4" t="s">
        <v>7</v>
      </c>
      <c r="D9" s="1"/>
      <c r="O9" s="192"/>
      <c r="Q9" s="23"/>
      <c r="R9" s="72"/>
      <c r="S9" s="169"/>
      <c r="Z9" s="73"/>
      <c r="AA9" s="23"/>
      <c r="AE9" s="23"/>
      <c r="AF9" s="23"/>
      <c r="AG9" s="35"/>
      <c r="AH9" s="23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160"/>
      <c r="AW9" s="26"/>
      <c r="AX9" s="52"/>
      <c r="AY9" s="26"/>
      <c r="AZ9" s="26"/>
      <c r="BA9" s="26"/>
      <c r="BB9" s="26"/>
      <c r="BC9" s="26"/>
      <c r="BD9" s="26"/>
      <c r="BE9" s="51"/>
      <c r="BF9" s="51"/>
      <c r="BG9" s="23"/>
      <c r="BH9" s="23"/>
      <c r="BI9" s="23"/>
      <c r="BJ9" s="23"/>
      <c r="BL9" s="25"/>
      <c r="BM9" s="25"/>
      <c r="BN9" s="76"/>
      <c r="BP9" s="23"/>
      <c r="BS9" s="23"/>
      <c r="BV9" s="23"/>
      <c r="BX9" s="23"/>
      <c r="CA9" s="23"/>
      <c r="CC9" s="23"/>
      <c r="CD9" s="30"/>
      <c r="CE9" s="30"/>
      <c r="CH9" s="23"/>
      <c r="CJ9" s="23"/>
      <c r="CL9" s="23"/>
      <c r="CN9" s="23"/>
      <c r="CP9" s="23"/>
      <c r="CS9" s="23"/>
      <c r="CW9" s="21"/>
      <c r="CZ9" s="23"/>
      <c r="DF9" s="23"/>
      <c r="DG9" s="170"/>
      <c r="DJ9" s="23"/>
      <c r="DK9" s="23"/>
      <c r="DL9" s="1"/>
      <c r="DO9" s="159"/>
      <c r="DP9" s="159"/>
      <c r="DX9" s="1"/>
      <c r="DY9" s="1"/>
      <c r="EA9" s="49"/>
      <c r="EB9" s="49"/>
      <c r="EG9" s="112"/>
      <c r="EH9" s="112"/>
      <c r="EI9" s="112"/>
      <c r="EK9" s="1"/>
      <c r="FA9" s="35"/>
      <c r="FG9" s="35"/>
    </row>
    <row r="13" spans="1:242">
      <c r="A13" t="s">
        <v>8</v>
      </c>
    </row>
    <row r="14" spans="1:242">
      <c r="A14" t="s">
        <v>9</v>
      </c>
    </row>
    <row r="15" spans="1:242">
      <c r="A15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J276"/>
  <sheetViews>
    <sheetView tabSelected="1" workbookViewId="0">
      <pane ySplit="1" topLeftCell="A2" activePane="bottomLeft" state="frozen"/>
      <selection pane="bottomLeft" activeCell="Z1" sqref="Z1"/>
    </sheetView>
  </sheetViews>
  <sheetFormatPr defaultColWidth="12.42578125" defaultRowHeight="15"/>
  <cols>
    <col min="1" max="1" width="31.7109375" style="3" customWidth="1"/>
    <col min="2" max="2" width="22.42578125" style="3" customWidth="1"/>
    <col min="3" max="8" width="13.42578125" style="3" customWidth="1"/>
    <col min="9" max="9" width="15" style="35" customWidth="1"/>
    <col min="10" max="10" width="23" style="3" customWidth="1"/>
    <col min="11" max="11" width="10.28515625" style="27" customWidth="1"/>
    <col min="12" max="12" width="9.42578125" style="27" customWidth="1"/>
    <col min="13" max="13" width="10.140625" style="27" customWidth="1"/>
    <col min="14" max="15" width="13" style="27" customWidth="1"/>
    <col min="16" max="16" width="15.140625" style="27" customWidth="1"/>
    <col min="17" max="17" width="8.85546875" style="27" customWidth="1"/>
    <col min="18" max="18" width="10.7109375" style="27" customWidth="1"/>
    <col min="19" max="20" width="9" style="27" customWidth="1"/>
    <col min="21" max="21" width="9.42578125" style="27" customWidth="1"/>
    <col min="22" max="22" width="10" style="27" customWidth="1"/>
    <col min="23" max="23" width="10.42578125" style="52" customWidth="1"/>
    <col min="24" max="24" width="10.42578125" style="27" customWidth="1"/>
    <col min="25" max="25" width="7.28515625" style="52" customWidth="1"/>
    <col min="26" max="26" width="15" style="27" customWidth="1"/>
    <col min="27" max="27" width="13" style="27" customWidth="1"/>
    <col min="28" max="28" width="12.7109375" style="27" customWidth="1"/>
    <col min="29" max="31" width="9.140625" style="27" customWidth="1"/>
    <col min="32" max="32" width="7.85546875" style="3" customWidth="1"/>
    <col min="33" max="33" width="5.42578125" style="3" customWidth="1"/>
    <col min="34" max="34" width="9.42578125" style="3" customWidth="1"/>
    <col min="35" max="35" width="7.140625" style="3" customWidth="1"/>
    <col min="36" max="36" width="8.85546875" style="3" customWidth="1"/>
    <col min="37" max="38" width="13.42578125" style="3" customWidth="1"/>
    <col min="39" max="39" width="7.7109375" style="3" customWidth="1"/>
    <col min="40" max="40" width="8.42578125" style="3" customWidth="1"/>
    <col min="41" max="41" width="13.42578125" style="3" customWidth="1"/>
    <col min="42" max="42" width="10.7109375" style="3" customWidth="1"/>
    <col min="43" max="43" width="10.28515625" style="3" customWidth="1"/>
    <col min="44" max="44" width="10.140625" style="3" customWidth="1"/>
    <col min="45" max="45" width="9.140625" style="3" customWidth="1"/>
    <col min="46" max="46" width="12.42578125" style="3" customWidth="1"/>
    <col min="47" max="47" width="13.42578125" style="3" customWidth="1"/>
    <col min="48" max="48" width="8.85546875" style="3" customWidth="1"/>
    <col min="49" max="49" width="12.7109375" style="3" customWidth="1"/>
    <col min="50" max="50" width="11.140625" style="3" customWidth="1"/>
    <col min="51" max="51" width="13.42578125" style="3" customWidth="1"/>
    <col min="52" max="52" width="15.140625" style="3" customWidth="1"/>
    <col min="53" max="58" width="12.42578125" style="3" customWidth="1"/>
    <col min="59" max="59" width="13.85546875" style="3" customWidth="1"/>
    <col min="60" max="60" width="12.42578125" style="3" customWidth="1"/>
    <col min="61" max="61" width="15.7109375" style="3" customWidth="1"/>
    <col min="62" max="63" width="12.42578125" style="3" customWidth="1"/>
    <col min="64" max="65" width="9" style="3" customWidth="1"/>
    <col min="66" max="66" width="10.140625" style="3" customWidth="1"/>
    <col min="67" max="67" width="9" style="174" customWidth="1"/>
    <col min="68" max="68" width="10.140625" style="3" customWidth="1"/>
    <col min="69" max="69" width="9.42578125" style="3" customWidth="1"/>
    <col min="70" max="72" width="11.85546875" style="3" customWidth="1"/>
    <col min="73" max="73" width="10.42578125" style="3" customWidth="1"/>
    <col min="74" max="75" width="10.7109375" style="3" customWidth="1"/>
    <col min="76" max="76" width="10" style="3" customWidth="1"/>
    <col min="77" max="77" width="11.42578125" style="3" customWidth="1"/>
    <col min="78" max="78" width="9.42578125" style="3" customWidth="1"/>
    <col min="79" max="79" width="18.7109375" style="3" customWidth="1"/>
    <col min="80" max="80" width="11.42578125" style="159" customWidth="1"/>
    <col min="81" max="81" width="18.7109375" style="159" customWidth="1"/>
    <col min="82" max="82" width="10" style="3" customWidth="1"/>
    <col min="83" max="83" width="12.7109375" style="3" customWidth="1"/>
    <col min="84" max="84" width="12.42578125" style="3"/>
    <col min="85" max="85" width="9.42578125" style="3" customWidth="1"/>
    <col min="86" max="86" width="7" style="3" customWidth="1"/>
    <col min="87" max="87" width="7.140625" style="3" customWidth="1"/>
    <col min="88" max="89" width="9.42578125" style="3" customWidth="1"/>
    <col min="90" max="90" width="12.42578125" style="3"/>
    <col min="91" max="91" width="10.7109375" style="3" customWidth="1"/>
    <col min="92" max="92" width="7.28515625" style="3" customWidth="1"/>
    <col min="93" max="96" width="12.42578125" style="3"/>
    <col min="97" max="98" width="9" customWidth="1"/>
    <col min="99" max="101" width="7" style="3" customWidth="1"/>
    <col min="102" max="102" width="17.140625" style="3" customWidth="1"/>
    <col min="103" max="113" width="12.42578125" style="3"/>
    <col min="114" max="114" width="12.42578125" style="35"/>
    <col min="115" max="16384" width="12.42578125" style="3"/>
  </cols>
  <sheetData>
    <row r="1" spans="1:192" s="1" customFormat="1" ht="138.75" customHeight="1">
      <c r="A1" s="1" t="s">
        <v>11</v>
      </c>
      <c r="B1" s="14" t="s">
        <v>12</v>
      </c>
      <c r="C1" s="14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5" t="s">
        <v>19</v>
      </c>
      <c r="J1" s="1" t="s">
        <v>20</v>
      </c>
      <c r="K1" s="16" t="s">
        <v>21</v>
      </c>
      <c r="L1" s="16" t="s">
        <v>22</v>
      </c>
      <c r="M1" s="16" t="s">
        <v>23</v>
      </c>
      <c r="N1" s="17" t="s">
        <v>24</v>
      </c>
      <c r="O1" s="17" t="s">
        <v>25</v>
      </c>
      <c r="P1" s="18" t="s">
        <v>26</v>
      </c>
      <c r="Q1" s="18" t="s">
        <v>27</v>
      </c>
      <c r="R1" s="18" t="s">
        <v>28</v>
      </c>
      <c r="S1" s="18" t="s">
        <v>29</v>
      </c>
      <c r="T1" s="18" t="s">
        <v>30</v>
      </c>
      <c r="U1" s="18" t="s">
        <v>31</v>
      </c>
      <c r="V1" s="18" t="s">
        <v>32</v>
      </c>
      <c r="W1" s="19" t="s">
        <v>33</v>
      </c>
      <c r="X1" s="17" t="s">
        <v>34</v>
      </c>
      <c r="Y1" s="19" t="s">
        <v>35</v>
      </c>
      <c r="Z1" s="17" t="s">
        <v>36</v>
      </c>
      <c r="AA1" s="18" t="s">
        <v>37</v>
      </c>
      <c r="AB1" s="18" t="s">
        <v>38</v>
      </c>
      <c r="AC1" s="17" t="s">
        <v>39</v>
      </c>
      <c r="AD1" s="17" t="s">
        <v>40</v>
      </c>
      <c r="AE1" s="18" t="s">
        <v>41</v>
      </c>
      <c r="AF1" s="18" t="s">
        <v>42</v>
      </c>
      <c r="AG1" s="1" t="s">
        <v>43</v>
      </c>
      <c r="AH1" s="1" t="s">
        <v>44</v>
      </c>
      <c r="AI1" s="1" t="s">
        <v>45</v>
      </c>
      <c r="AJ1" s="1" t="s">
        <v>46</v>
      </c>
      <c r="AK1" s="1" t="s">
        <v>47</v>
      </c>
      <c r="AL1" s="1" t="s">
        <v>48</v>
      </c>
      <c r="AM1" s="1" t="s">
        <v>49</v>
      </c>
      <c r="AN1" s="14" t="s">
        <v>50</v>
      </c>
      <c r="AO1" s="1" t="s">
        <v>51</v>
      </c>
      <c r="AP1" s="14" t="s">
        <v>52</v>
      </c>
      <c r="AQ1" s="1" t="s">
        <v>53</v>
      </c>
      <c r="AR1" s="14" t="s">
        <v>54</v>
      </c>
      <c r="AS1" s="1" t="s">
        <v>55</v>
      </c>
      <c r="AT1" s="14" t="s">
        <v>56</v>
      </c>
      <c r="AU1" s="1" t="s">
        <v>57</v>
      </c>
      <c r="AV1" s="14" t="s">
        <v>58</v>
      </c>
      <c r="AW1" s="1" t="s">
        <v>59</v>
      </c>
      <c r="AX1" s="14" t="s">
        <v>60</v>
      </c>
      <c r="AY1" s="14" t="s">
        <v>61</v>
      </c>
      <c r="AZ1" s="14" t="s">
        <v>62</v>
      </c>
      <c r="BA1" s="1" t="s">
        <v>63</v>
      </c>
      <c r="BB1" s="20" t="s">
        <v>64</v>
      </c>
      <c r="BC1" s="1" t="s">
        <v>65</v>
      </c>
      <c r="BD1" s="20" t="s">
        <v>66</v>
      </c>
      <c r="BE1" s="1" t="s">
        <v>67</v>
      </c>
      <c r="BF1" s="20" t="s">
        <v>68</v>
      </c>
      <c r="BG1" s="1" t="s">
        <v>69</v>
      </c>
      <c r="BH1" s="20" t="s">
        <v>70</v>
      </c>
      <c r="BI1" s="1" t="s">
        <v>71</v>
      </c>
      <c r="BJ1" s="20" t="s">
        <v>72</v>
      </c>
      <c r="BK1" s="1" t="s">
        <v>73</v>
      </c>
      <c r="BL1" s="14" t="s">
        <v>74</v>
      </c>
      <c r="BM1" s="1" t="s">
        <v>75</v>
      </c>
      <c r="BN1" s="14" t="s">
        <v>76</v>
      </c>
      <c r="BO1" s="21" t="s">
        <v>77</v>
      </c>
      <c r="BP1" s="1" t="s">
        <v>78</v>
      </c>
      <c r="BQ1" s="14" t="s">
        <v>79</v>
      </c>
      <c r="BR1" s="1" t="s">
        <v>80</v>
      </c>
      <c r="BS1" s="14" t="s">
        <v>81</v>
      </c>
      <c r="BT1" s="1" t="s">
        <v>82</v>
      </c>
      <c r="BU1" s="14" t="s">
        <v>83</v>
      </c>
      <c r="BV1" s="14" t="s">
        <v>84</v>
      </c>
      <c r="BW1" s="1" t="s">
        <v>85</v>
      </c>
      <c r="BX1" s="14" t="s">
        <v>86</v>
      </c>
      <c r="BY1" s="14" t="s">
        <v>87</v>
      </c>
      <c r="BZ1" s="1" t="s">
        <v>88</v>
      </c>
      <c r="CA1" s="1" t="s">
        <v>89</v>
      </c>
      <c r="CB1" s="22" t="s">
        <v>90</v>
      </c>
      <c r="CC1" s="22" t="s">
        <v>91</v>
      </c>
      <c r="CD1" s="1" t="s">
        <v>92</v>
      </c>
      <c r="CE1" s="1" t="s">
        <v>93</v>
      </c>
      <c r="CF1" s="1" t="s">
        <v>94</v>
      </c>
      <c r="CG1" s="1" t="s">
        <v>95</v>
      </c>
      <c r="CH1" s="1" t="s">
        <v>96</v>
      </c>
      <c r="CI1" s="1" t="s">
        <v>97</v>
      </c>
      <c r="CJ1" s="1" t="s">
        <v>98</v>
      </c>
      <c r="CK1" s="1" t="s">
        <v>99</v>
      </c>
      <c r="CL1" s="1" t="s">
        <v>100</v>
      </c>
      <c r="CM1" s="1" t="s">
        <v>101</v>
      </c>
      <c r="CN1" s="1" t="s">
        <v>102</v>
      </c>
      <c r="CO1" s="1" t="s">
        <v>103</v>
      </c>
      <c r="CP1" s="1" t="s">
        <v>104</v>
      </c>
      <c r="CQ1" s="1" t="s">
        <v>105</v>
      </c>
      <c r="CR1" s="1" t="s">
        <v>106</v>
      </c>
      <c r="CS1" s="1" t="s">
        <v>107</v>
      </c>
      <c r="CT1" s="1" t="s">
        <v>108</v>
      </c>
      <c r="CU1" s="1" t="s">
        <v>109</v>
      </c>
      <c r="CV1" s="1" t="s">
        <v>110</v>
      </c>
      <c r="CW1" s="1" t="s">
        <v>111</v>
      </c>
      <c r="CX1" s="1" t="s">
        <v>112</v>
      </c>
      <c r="CY1" s="1" t="s">
        <v>113</v>
      </c>
      <c r="CZ1" s="1" t="s">
        <v>114</v>
      </c>
      <c r="DA1" s="1" t="s">
        <v>115</v>
      </c>
      <c r="DB1" s="1" t="s">
        <v>116</v>
      </c>
      <c r="DC1" s="1" t="s">
        <v>117</v>
      </c>
      <c r="DD1" s="1" t="s">
        <v>118</v>
      </c>
      <c r="DE1" s="1" t="s">
        <v>119</v>
      </c>
      <c r="DF1" s="1" t="s">
        <v>120</v>
      </c>
      <c r="DG1" s="1" t="s">
        <v>121</v>
      </c>
      <c r="DH1" s="1" t="s">
        <v>122</v>
      </c>
      <c r="DI1" s="1" t="s">
        <v>121</v>
      </c>
      <c r="DJ1" s="15" t="s">
        <v>123</v>
      </c>
      <c r="DK1" s="1" t="s">
        <v>121</v>
      </c>
      <c r="DL1" s="1" t="s">
        <v>124</v>
      </c>
      <c r="DM1" s="1" t="s">
        <v>121</v>
      </c>
      <c r="DN1" s="1" t="s">
        <v>125</v>
      </c>
      <c r="DO1" s="1" t="s">
        <v>126</v>
      </c>
    </row>
    <row r="2" spans="1:192" ht="60">
      <c r="A2" s="190">
        <v>20001</v>
      </c>
      <c r="B2" s="23" t="s">
        <v>127</v>
      </c>
      <c r="C2" s="1">
        <v>78.8</v>
      </c>
      <c r="D2" s="1">
        <v>9</v>
      </c>
      <c r="E2" s="1">
        <v>8</v>
      </c>
      <c r="F2" s="1">
        <v>17</v>
      </c>
      <c r="G2" s="1">
        <v>8.8000000000000007</v>
      </c>
      <c r="H2" s="1">
        <v>8.1999999999999993</v>
      </c>
      <c r="I2" s="15">
        <v>5.4</v>
      </c>
      <c r="J2" s="1" t="s">
        <v>128</v>
      </c>
      <c r="K2" s="26">
        <v>2.35E-2</v>
      </c>
      <c r="L2" s="26">
        <v>3.619E-2</v>
      </c>
      <c r="M2" s="26">
        <v>1.7000000000000001E-2</v>
      </c>
      <c r="N2" s="27">
        <v>2.35E-2</v>
      </c>
      <c r="O2" s="27">
        <v>3.619E-2</v>
      </c>
      <c r="P2" s="27">
        <v>1.7000000000000001E-2</v>
      </c>
      <c r="Q2" s="27">
        <v>0.86</v>
      </c>
      <c r="R2" s="27">
        <v>8.7999999999999995E-2</v>
      </c>
      <c r="S2" s="27">
        <v>8.9999999999999993E-3</v>
      </c>
      <c r="T2" s="27">
        <v>3.5000000000000003E-2</v>
      </c>
      <c r="U2" s="27">
        <v>8.9999999999999993E-3</v>
      </c>
      <c r="V2" s="27">
        <v>0</v>
      </c>
      <c r="W2" s="28">
        <v>56</v>
      </c>
      <c r="X2" s="18">
        <v>0.55428571428571427</v>
      </c>
      <c r="Y2" s="28">
        <v>97</v>
      </c>
      <c r="Z2" s="18">
        <v>5.7000000000000002E-2</v>
      </c>
      <c r="AA2" s="18">
        <v>6.0000000000000001E-3</v>
      </c>
      <c r="AB2" s="18">
        <v>2.3E-2</v>
      </c>
      <c r="AC2" s="18">
        <v>6.0000000000000001E-3</v>
      </c>
      <c r="AD2" s="27">
        <f>AC2+AA2</f>
        <v>1.2E-2</v>
      </c>
      <c r="AE2" s="18">
        <v>0</v>
      </c>
      <c r="AF2" s="1" t="s">
        <v>129</v>
      </c>
      <c r="AG2" s="1" t="s">
        <v>130</v>
      </c>
      <c r="AH2" s="1" t="s">
        <v>131</v>
      </c>
      <c r="AI2" s="1">
        <v>18</v>
      </c>
      <c r="AJ2" s="1">
        <v>45</v>
      </c>
      <c r="AK2" s="1">
        <v>27</v>
      </c>
      <c r="AL2" s="1" t="s">
        <v>132</v>
      </c>
      <c r="AM2" s="1">
        <v>175</v>
      </c>
      <c r="AN2" s="1">
        <v>100</v>
      </c>
      <c r="AO2" s="29">
        <v>51</v>
      </c>
      <c r="AP2" s="3">
        <v>85</v>
      </c>
      <c r="AQ2" s="1">
        <v>37</v>
      </c>
      <c r="AR2" s="1">
        <v>93</v>
      </c>
      <c r="AS2" s="1">
        <v>35</v>
      </c>
      <c r="AT2" s="1">
        <v>88</v>
      </c>
      <c r="AU2" s="1">
        <v>78</v>
      </c>
      <c r="AV2" s="1">
        <v>98</v>
      </c>
      <c r="AW2" s="1">
        <v>74</v>
      </c>
      <c r="AX2" s="1">
        <v>93</v>
      </c>
      <c r="AY2" s="30">
        <f>NORMINV(AV2/100,0,1)-NORMINV(1-(AX2/100),0,1)</f>
        <v>3.5295399388109931</v>
      </c>
      <c r="AZ2" s="31">
        <f>NORMSINV((AV2*(80/100)+0.5)/81)-NORMSINV(1-(AX2*(80/100)+0.5)/81)</f>
        <v>3.3817161991801137</v>
      </c>
      <c r="BA2" s="1">
        <v>17</v>
      </c>
      <c r="BB2" s="1">
        <v>57</v>
      </c>
      <c r="BC2" s="29">
        <v>8</v>
      </c>
      <c r="BD2" s="1">
        <v>53</v>
      </c>
      <c r="BE2" s="1">
        <v>9</v>
      </c>
      <c r="BF2" s="1">
        <v>60</v>
      </c>
      <c r="BG2" s="32">
        <v>18</v>
      </c>
      <c r="BH2" s="1">
        <v>60</v>
      </c>
      <c r="BI2" s="1">
        <v>29</v>
      </c>
      <c r="BJ2" s="1">
        <v>97</v>
      </c>
      <c r="BK2" s="1">
        <v>35</v>
      </c>
      <c r="BL2" s="3">
        <v>55</v>
      </c>
      <c r="BM2" s="1">
        <v>154</v>
      </c>
      <c r="BN2" s="3">
        <v>79</v>
      </c>
      <c r="BO2" s="21">
        <f>(BM2/204)*100</f>
        <v>75.490196078431367</v>
      </c>
      <c r="BP2" s="1">
        <v>44</v>
      </c>
      <c r="BQ2" s="3">
        <v>85</v>
      </c>
      <c r="BR2" s="23" t="s">
        <v>133</v>
      </c>
      <c r="BS2" s="3">
        <v>3.4</v>
      </c>
      <c r="BT2" s="1">
        <v>34</v>
      </c>
      <c r="BU2" s="3">
        <v>85</v>
      </c>
      <c r="BV2" s="3">
        <v>1.25</v>
      </c>
      <c r="BW2" s="1">
        <v>37</v>
      </c>
      <c r="BX2" s="3">
        <v>93</v>
      </c>
      <c r="BY2" s="3">
        <v>3</v>
      </c>
      <c r="BZ2" s="23" t="s">
        <v>134</v>
      </c>
      <c r="CA2" s="23" t="s">
        <v>134</v>
      </c>
      <c r="CB2" s="33">
        <v>0</v>
      </c>
      <c r="CC2" s="34">
        <v>0</v>
      </c>
      <c r="CD2" s="3">
        <v>83</v>
      </c>
      <c r="CE2" s="3">
        <v>88</v>
      </c>
      <c r="CF2" s="3">
        <v>95</v>
      </c>
      <c r="CG2" s="1">
        <v>100</v>
      </c>
      <c r="CH2" s="29" t="s">
        <v>135</v>
      </c>
      <c r="CI2" s="3" t="s">
        <v>136</v>
      </c>
      <c r="CJ2" s="3" t="s">
        <v>136</v>
      </c>
      <c r="CK2" s="3" t="s">
        <v>136</v>
      </c>
      <c r="CL2" s="1"/>
      <c r="CM2" s="3" t="s">
        <v>137</v>
      </c>
      <c r="CN2" s="3" t="s">
        <v>136</v>
      </c>
      <c r="CO2" s="3" t="s">
        <v>136</v>
      </c>
      <c r="CP2" s="3" t="s">
        <v>136</v>
      </c>
      <c r="CQ2" s="3">
        <v>1</v>
      </c>
      <c r="CR2" s="1"/>
      <c r="CS2" s="1" t="s">
        <v>138</v>
      </c>
      <c r="CT2" s="1" t="s">
        <v>138</v>
      </c>
      <c r="CU2" s="1" t="s">
        <v>138</v>
      </c>
      <c r="CV2" s="1" t="s">
        <v>138</v>
      </c>
      <c r="CW2" s="1" t="s">
        <v>138</v>
      </c>
    </row>
    <row r="3" spans="1:192" ht="45">
      <c r="A3" s="190">
        <v>20001</v>
      </c>
      <c r="B3" s="36" t="s">
        <v>127</v>
      </c>
      <c r="C3" s="38">
        <v>88.3</v>
      </c>
      <c r="D3" s="39">
        <v>9</v>
      </c>
      <c r="E3" s="39">
        <v>9</v>
      </c>
      <c r="F3" s="39">
        <v>18</v>
      </c>
      <c r="G3" s="39">
        <v>9.85</v>
      </c>
      <c r="H3" s="39">
        <v>9</v>
      </c>
      <c r="I3" s="15">
        <v>7.3</v>
      </c>
      <c r="J3" s="39" t="s">
        <v>128</v>
      </c>
      <c r="K3" s="40">
        <v>2.836E-2</v>
      </c>
      <c r="L3" s="40">
        <v>2.76E-2</v>
      </c>
      <c r="M3" s="40">
        <v>2.085E-2</v>
      </c>
      <c r="N3" s="40">
        <v>2.836E-2</v>
      </c>
      <c r="O3" s="40">
        <v>2.76E-2</v>
      </c>
      <c r="P3" s="40">
        <v>2.085E-2</v>
      </c>
      <c r="Q3" s="40">
        <v>0.93700000000000006</v>
      </c>
      <c r="R3" s="40">
        <v>2.8000000000000001E-2</v>
      </c>
      <c r="S3" s="40">
        <v>0</v>
      </c>
      <c r="T3" s="40">
        <v>0</v>
      </c>
      <c r="U3" s="40">
        <v>2.8000000000000001E-2</v>
      </c>
      <c r="V3" s="40">
        <v>7.0000000000000001E-3</v>
      </c>
      <c r="W3" s="41">
        <v>77</v>
      </c>
      <c r="X3" s="42">
        <v>0.76600000000000001</v>
      </c>
      <c r="Y3" s="43">
        <v>134</v>
      </c>
      <c r="Z3" s="42">
        <v>2.3E-2</v>
      </c>
      <c r="AA3" s="42">
        <v>0</v>
      </c>
      <c r="AB3" s="42">
        <v>0</v>
      </c>
      <c r="AC3" s="42">
        <v>2.3E-2</v>
      </c>
      <c r="AD3" s="40">
        <v>2.3E-2</v>
      </c>
      <c r="AE3" s="42">
        <v>6.0000000000000001E-3</v>
      </c>
      <c r="AF3" s="38" t="s">
        <v>129</v>
      </c>
      <c r="AG3" s="38" t="s">
        <v>130</v>
      </c>
      <c r="AH3" s="38" t="s">
        <v>131</v>
      </c>
      <c r="AI3" s="38">
        <v>18</v>
      </c>
      <c r="AJ3" s="38">
        <v>51</v>
      </c>
      <c r="AK3" s="38">
        <v>106</v>
      </c>
      <c r="AL3" s="44" t="s">
        <v>132</v>
      </c>
      <c r="AM3" s="39">
        <v>174</v>
      </c>
      <c r="AN3" s="39">
        <v>99</v>
      </c>
      <c r="AO3" s="45">
        <v>49</v>
      </c>
      <c r="AP3" s="2">
        <v>82</v>
      </c>
      <c r="AQ3" s="39">
        <v>39</v>
      </c>
      <c r="AR3" s="39">
        <v>98</v>
      </c>
      <c r="AS3" s="39">
        <v>39</v>
      </c>
      <c r="AT3" s="39">
        <v>98</v>
      </c>
      <c r="AU3" s="39">
        <v>75</v>
      </c>
      <c r="AV3" s="39">
        <v>94</v>
      </c>
      <c r="AW3" s="39">
        <v>76</v>
      </c>
      <c r="AX3" s="39">
        <v>95</v>
      </c>
      <c r="AY3" s="46">
        <f>NORMINV(AV3/100,0,1)-NORMINV(1-(AX3/100),0,1)</f>
        <v>3.1996272215483241</v>
      </c>
      <c r="AZ3" s="31">
        <f>NORMSINV((AV3*(80/100)+0.5)/81)-NORMSINV(1-(AX3*(80/100)+0.5)/81)</f>
        <v>3.103921583452248</v>
      </c>
      <c r="BA3" s="39">
        <v>24</v>
      </c>
      <c r="BB3" s="39">
        <v>80</v>
      </c>
      <c r="BC3" s="45">
        <v>12</v>
      </c>
      <c r="BD3" s="39">
        <v>80</v>
      </c>
      <c r="BE3" s="39">
        <v>12</v>
      </c>
      <c r="BF3" s="39">
        <v>80</v>
      </c>
      <c r="BG3" s="39">
        <v>23</v>
      </c>
      <c r="BH3" s="39">
        <v>77</v>
      </c>
      <c r="BI3" s="39">
        <v>29</v>
      </c>
      <c r="BJ3" s="39">
        <v>97</v>
      </c>
      <c r="BK3" s="39">
        <v>42</v>
      </c>
      <c r="BL3" s="2">
        <v>66</v>
      </c>
      <c r="BM3" s="39">
        <v>165</v>
      </c>
      <c r="BN3" s="2">
        <v>82</v>
      </c>
      <c r="BO3" s="47">
        <f>(BM3/204)*100</f>
        <v>80.882352941176478</v>
      </c>
      <c r="BP3" s="39">
        <v>46</v>
      </c>
      <c r="BQ3" s="2">
        <v>88</v>
      </c>
      <c r="BR3" s="36" t="s">
        <v>139</v>
      </c>
      <c r="BS3" s="2">
        <v>3.8</v>
      </c>
      <c r="BT3" s="39">
        <v>38</v>
      </c>
      <c r="BU3" s="2">
        <v>95</v>
      </c>
      <c r="BV3" s="2">
        <v>2.5499999999999998</v>
      </c>
      <c r="BW3" s="39">
        <v>37</v>
      </c>
      <c r="BX3" s="2">
        <v>93</v>
      </c>
      <c r="BY3" s="2">
        <v>5.29</v>
      </c>
      <c r="BZ3" s="36" t="s">
        <v>134</v>
      </c>
      <c r="CA3" s="36" t="s">
        <v>134</v>
      </c>
      <c r="CB3" s="48">
        <v>0</v>
      </c>
      <c r="CC3" s="48">
        <v>0</v>
      </c>
      <c r="CD3" s="2">
        <v>93</v>
      </c>
      <c r="CE3" s="2">
        <v>93</v>
      </c>
      <c r="CF3" s="2">
        <v>98</v>
      </c>
      <c r="CG3" s="39">
        <v>100</v>
      </c>
      <c r="CH3" s="45" t="s">
        <v>140</v>
      </c>
      <c r="CI3" s="2" t="s">
        <v>136</v>
      </c>
      <c r="CJ3" s="49" t="s">
        <v>141</v>
      </c>
      <c r="CK3" s="49" t="s">
        <v>142</v>
      </c>
      <c r="CL3" s="39"/>
      <c r="CM3" s="2" t="s">
        <v>143</v>
      </c>
      <c r="CN3" s="2" t="s">
        <v>136</v>
      </c>
      <c r="CO3" s="49" t="s">
        <v>141</v>
      </c>
      <c r="CP3" s="49" t="s">
        <v>142</v>
      </c>
      <c r="CQ3" s="49"/>
      <c r="CR3" s="39"/>
      <c r="CS3" s="2"/>
      <c r="CT3" s="2" t="s">
        <v>144</v>
      </c>
      <c r="CU3" s="2">
        <v>100</v>
      </c>
      <c r="CV3" s="2">
        <v>92</v>
      </c>
      <c r="CW3" s="2">
        <v>100</v>
      </c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</row>
    <row r="4" spans="1:192" s="54" customFormat="1" ht="15.75" customHeight="1">
      <c r="A4" s="190">
        <v>20002</v>
      </c>
      <c r="B4" s="51" t="s">
        <v>127</v>
      </c>
      <c r="C4" s="3">
        <v>68</v>
      </c>
      <c r="D4" s="1">
        <v>6</v>
      </c>
      <c r="E4" s="3">
        <v>5</v>
      </c>
      <c r="F4" s="1">
        <v>11</v>
      </c>
      <c r="G4" s="3">
        <v>9.4</v>
      </c>
      <c r="H4" s="1">
        <v>6.4</v>
      </c>
      <c r="I4" s="15">
        <v>7.2</v>
      </c>
      <c r="J4" s="1" t="s">
        <v>145</v>
      </c>
      <c r="K4" s="27">
        <v>3.0030000000000001E-2</v>
      </c>
      <c r="L4" s="27">
        <v>2.2020000000000001E-2</v>
      </c>
      <c r="M4" s="27">
        <v>1.172E-2</v>
      </c>
      <c r="N4" s="27">
        <v>3.0030000000000001E-2</v>
      </c>
      <c r="O4" s="27">
        <v>2.2020000000000001E-2</v>
      </c>
      <c r="P4" s="27">
        <v>1.172E-2</v>
      </c>
      <c r="Q4" s="27">
        <v>0.86799999999999999</v>
      </c>
      <c r="R4" s="27">
        <v>2.1999999999999999E-2</v>
      </c>
      <c r="S4" s="27">
        <v>2.9000000000000001E-2</v>
      </c>
      <c r="T4" s="27">
        <v>1.4999999999999999E-2</v>
      </c>
      <c r="U4" s="27">
        <v>5.8999999999999997E-2</v>
      </c>
      <c r="V4" s="27">
        <v>7.0000000000000001E-3</v>
      </c>
      <c r="W4" s="52">
        <v>67</v>
      </c>
      <c r="X4" s="27">
        <v>0.66900000000000004</v>
      </c>
      <c r="Y4" s="52">
        <v>117</v>
      </c>
      <c r="Z4" s="27">
        <v>1.7000000000000001E-2</v>
      </c>
      <c r="AA4" s="27">
        <v>2.3E-2</v>
      </c>
      <c r="AB4" s="27">
        <v>1.0999999999999999E-2</v>
      </c>
      <c r="AC4" s="27">
        <v>4.5999999999999999E-2</v>
      </c>
      <c r="AD4" s="27">
        <f>AC4+AA4</f>
        <v>6.9000000000000006E-2</v>
      </c>
      <c r="AE4" s="27">
        <v>6.0000000000000001E-3</v>
      </c>
      <c r="AF4" s="1" t="s">
        <v>129</v>
      </c>
      <c r="AG4" s="3" t="s">
        <v>130</v>
      </c>
      <c r="AH4" s="3" t="s">
        <v>146</v>
      </c>
      <c r="AI4" s="3">
        <v>14</v>
      </c>
      <c r="AJ4" s="3">
        <v>49</v>
      </c>
      <c r="AK4" s="3">
        <v>5</v>
      </c>
      <c r="AL4" s="3" t="s">
        <v>132</v>
      </c>
      <c r="AM4" s="1">
        <v>170</v>
      </c>
      <c r="AN4" s="3">
        <v>97</v>
      </c>
      <c r="AO4" s="1">
        <v>45</v>
      </c>
      <c r="AP4" s="3">
        <v>75</v>
      </c>
      <c r="AQ4" s="1">
        <v>40</v>
      </c>
      <c r="AR4" s="3">
        <v>100</v>
      </c>
      <c r="AS4" s="1">
        <v>38</v>
      </c>
      <c r="AT4" s="3">
        <v>95</v>
      </c>
      <c r="AU4" s="1">
        <v>77</v>
      </c>
      <c r="AV4" s="3">
        <v>96</v>
      </c>
      <c r="AW4" s="1">
        <v>77</v>
      </c>
      <c r="AX4" s="3">
        <v>96</v>
      </c>
      <c r="AY4" s="30">
        <f>NORMINV(AV4/100,0,1)-NORMINV(1-(AX4/100),0,1)</f>
        <v>3.5013721425043389</v>
      </c>
      <c r="AZ4" s="31">
        <f>NORMSINV((AV4*(80/100)+0.5)/81)-NORMSINV(1-(AX4*(80/100)+0.5)/81)</f>
        <v>3.3765544534159075</v>
      </c>
      <c r="BA4" s="1">
        <v>27</v>
      </c>
      <c r="BB4" s="3">
        <v>90</v>
      </c>
      <c r="BC4" s="1">
        <v>15</v>
      </c>
      <c r="BD4" s="3">
        <v>100</v>
      </c>
      <c r="BE4" s="1">
        <v>12</v>
      </c>
      <c r="BF4" s="3">
        <v>80</v>
      </c>
      <c r="BG4" s="1">
        <v>22</v>
      </c>
      <c r="BH4" s="3">
        <v>73</v>
      </c>
      <c r="BI4" s="1">
        <v>27</v>
      </c>
      <c r="BJ4" s="3">
        <v>90</v>
      </c>
      <c r="BK4" s="1">
        <v>50</v>
      </c>
      <c r="BL4" s="3">
        <v>78</v>
      </c>
      <c r="BM4" s="1">
        <v>175</v>
      </c>
      <c r="BN4" s="3">
        <v>88</v>
      </c>
      <c r="BO4" s="21">
        <f>(BM4/204)*100</f>
        <v>85.784313725490193</v>
      </c>
      <c r="BP4" s="1">
        <v>51</v>
      </c>
      <c r="BQ4" s="3">
        <v>98</v>
      </c>
      <c r="BR4" s="53" t="s">
        <v>133</v>
      </c>
      <c r="BS4" s="3">
        <v>3</v>
      </c>
      <c r="BT4" s="1">
        <v>31</v>
      </c>
      <c r="BU4" s="3">
        <v>78</v>
      </c>
      <c r="BV4" s="3">
        <v>2</v>
      </c>
      <c r="BW4" s="1">
        <v>40</v>
      </c>
      <c r="BX4" s="3">
        <v>100</v>
      </c>
      <c r="BY4" s="3">
        <v>5.2</v>
      </c>
      <c r="BZ4" s="3" t="s">
        <v>134</v>
      </c>
      <c r="CA4" s="23" t="s">
        <v>147</v>
      </c>
      <c r="CB4" s="33">
        <v>15</v>
      </c>
      <c r="CC4" s="34">
        <v>8.5714285714285715E-2</v>
      </c>
      <c r="CD4" s="3">
        <v>97</v>
      </c>
      <c r="CE4" s="3">
        <v>97</v>
      </c>
      <c r="CF4" s="3">
        <v>98</v>
      </c>
      <c r="CG4" s="1">
        <v>80</v>
      </c>
      <c r="CH4" s="5" t="s">
        <v>140</v>
      </c>
      <c r="CI4" s="3" t="s">
        <v>136</v>
      </c>
      <c r="CJ4" s="3" t="s">
        <v>136</v>
      </c>
      <c r="CK4" s="3" t="s">
        <v>136</v>
      </c>
      <c r="CL4" s="3" t="s">
        <v>148</v>
      </c>
      <c r="CM4" s="3" t="s">
        <v>149</v>
      </c>
      <c r="CN4" s="3" t="s">
        <v>136</v>
      </c>
      <c r="CO4" s="3" t="s">
        <v>136</v>
      </c>
      <c r="CP4" s="3" t="s">
        <v>136</v>
      </c>
      <c r="CQ4" s="3">
        <v>1</v>
      </c>
      <c r="CR4" s="3"/>
      <c r="CS4" s="1" t="s">
        <v>138</v>
      </c>
      <c r="CT4" s="1" t="s">
        <v>138</v>
      </c>
      <c r="CU4" s="1" t="s">
        <v>138</v>
      </c>
      <c r="CV4" s="1" t="s">
        <v>138</v>
      </c>
      <c r="CW4" s="1" t="s">
        <v>138</v>
      </c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5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</row>
    <row r="5" spans="1:192" s="8" customFormat="1" ht="15.75" customHeight="1">
      <c r="A5" s="190">
        <v>20002</v>
      </c>
      <c r="B5" s="55" t="s">
        <v>150</v>
      </c>
      <c r="C5" s="2">
        <v>87.8</v>
      </c>
      <c r="D5" s="39">
        <v>9</v>
      </c>
      <c r="E5" s="2">
        <v>8</v>
      </c>
      <c r="F5" s="39">
        <v>17</v>
      </c>
      <c r="G5" s="2">
        <v>8.9</v>
      </c>
      <c r="H5" s="39">
        <v>8.8000000000000007</v>
      </c>
      <c r="I5" s="15">
        <v>9.1999999999999993</v>
      </c>
      <c r="J5" s="39" t="s">
        <v>128</v>
      </c>
      <c r="K5" s="40">
        <v>3.7600000000000001E-2</v>
      </c>
      <c r="L5" s="40">
        <v>2.3449999999999999E-2</v>
      </c>
      <c r="M5" s="40">
        <v>1.8429999999999998E-2</v>
      </c>
      <c r="N5" s="40">
        <v>3.7600000000000001E-2</v>
      </c>
      <c r="O5" s="40">
        <v>2.3449999999999999E-2</v>
      </c>
      <c r="P5" s="40">
        <v>1.8429999999999998E-2</v>
      </c>
      <c r="Q5" s="40">
        <v>0.95899999999999996</v>
      </c>
      <c r="R5" s="40">
        <v>0</v>
      </c>
      <c r="S5" s="40">
        <v>1.7000000000000001E-2</v>
      </c>
      <c r="T5" s="40">
        <v>0</v>
      </c>
      <c r="U5" s="40">
        <v>2.3E-2</v>
      </c>
      <c r="V5" s="40">
        <v>0</v>
      </c>
      <c r="W5" s="56">
        <v>93</v>
      </c>
      <c r="X5" s="40">
        <v>0.93100000000000005</v>
      </c>
      <c r="Y5" s="57">
        <v>163</v>
      </c>
      <c r="Z5" s="40">
        <v>0</v>
      </c>
      <c r="AA5" s="40">
        <v>1.7000000000000001E-2</v>
      </c>
      <c r="AB5" s="40">
        <v>0</v>
      </c>
      <c r="AC5" s="40">
        <v>2.3E-2</v>
      </c>
      <c r="AD5" s="40">
        <v>0.04</v>
      </c>
      <c r="AE5" s="40">
        <v>0</v>
      </c>
      <c r="AF5" s="38" t="s">
        <v>129</v>
      </c>
      <c r="AG5" s="38" t="s">
        <v>130</v>
      </c>
      <c r="AH5" s="36" t="s">
        <v>146</v>
      </c>
      <c r="AI5" s="36">
        <v>14</v>
      </c>
      <c r="AJ5" s="36">
        <v>55</v>
      </c>
      <c r="AK5" s="36">
        <v>73</v>
      </c>
      <c r="AL5" s="2" t="s">
        <v>132</v>
      </c>
      <c r="AM5" s="39">
        <v>167</v>
      </c>
      <c r="AN5" s="2">
        <v>95</v>
      </c>
      <c r="AO5" s="39">
        <v>45</v>
      </c>
      <c r="AP5" s="2">
        <v>75</v>
      </c>
      <c r="AQ5" s="39">
        <v>39</v>
      </c>
      <c r="AR5" s="2">
        <v>98</v>
      </c>
      <c r="AS5" s="39">
        <v>38</v>
      </c>
      <c r="AT5" s="2">
        <v>95</v>
      </c>
      <c r="AU5" s="39">
        <v>75</v>
      </c>
      <c r="AV5" s="2">
        <v>94</v>
      </c>
      <c r="AW5" s="39">
        <v>76</v>
      </c>
      <c r="AX5" s="2">
        <v>95</v>
      </c>
      <c r="AY5" s="46">
        <f>NORMINV(AV5/100,0,1)-NORMINV(1-(AX5/100),0,1)</f>
        <v>3.1996272215483241</v>
      </c>
      <c r="AZ5" s="31">
        <f>NORMSINV((AV5*(80/100)+0.5)/81)-NORMSINV(1-(AX5*(80/100)+0.5)/81)</f>
        <v>3.103921583452248</v>
      </c>
      <c r="BA5" s="39">
        <v>28</v>
      </c>
      <c r="BB5" s="2">
        <v>93</v>
      </c>
      <c r="BC5" s="39">
        <v>14</v>
      </c>
      <c r="BD5" s="2">
        <v>93</v>
      </c>
      <c r="BE5" s="39">
        <v>14</v>
      </c>
      <c r="BF5" s="2">
        <v>93</v>
      </c>
      <c r="BG5" s="39">
        <v>25</v>
      </c>
      <c r="BH5" s="2">
        <v>83</v>
      </c>
      <c r="BI5" s="39">
        <v>30</v>
      </c>
      <c r="BJ5" s="2">
        <v>100</v>
      </c>
      <c r="BK5" s="39">
        <v>55</v>
      </c>
      <c r="BL5" s="2">
        <v>86</v>
      </c>
      <c r="BM5" s="39">
        <v>182</v>
      </c>
      <c r="BN5" s="2">
        <v>93</v>
      </c>
      <c r="BO5" s="47">
        <f>(BM5/204)*100</f>
        <v>89.215686274509807</v>
      </c>
      <c r="BP5" s="39">
        <v>49</v>
      </c>
      <c r="BQ5" s="2">
        <v>94</v>
      </c>
      <c r="BR5" s="58" t="s">
        <v>139</v>
      </c>
      <c r="BS5" s="2">
        <v>3.8</v>
      </c>
      <c r="BT5" s="39">
        <v>37</v>
      </c>
      <c r="BU5" s="2">
        <v>93</v>
      </c>
      <c r="BV5" s="36">
        <v>3.32</v>
      </c>
      <c r="BW5" s="39">
        <v>40</v>
      </c>
      <c r="BX5" s="2">
        <v>100</v>
      </c>
      <c r="BY5" s="2">
        <v>4.7699999999999996</v>
      </c>
      <c r="BZ5" s="2" t="s">
        <v>134</v>
      </c>
      <c r="CA5" s="2" t="s">
        <v>134</v>
      </c>
      <c r="CB5" s="48">
        <v>2</v>
      </c>
      <c r="CC5" s="48">
        <v>1.0999999999999999E-2</v>
      </c>
      <c r="CD5" s="2">
        <v>99</v>
      </c>
      <c r="CE5" s="2">
        <v>99</v>
      </c>
      <c r="CF5" s="2">
        <v>99</v>
      </c>
      <c r="CG5" s="39">
        <v>100</v>
      </c>
      <c r="CH5" s="6" t="s">
        <v>140</v>
      </c>
      <c r="CI5" s="2" t="s">
        <v>136</v>
      </c>
      <c r="CJ5" s="49" t="s">
        <v>141</v>
      </c>
      <c r="CK5" s="49" t="s">
        <v>142</v>
      </c>
      <c r="CL5" s="2" t="s">
        <v>151</v>
      </c>
      <c r="CM5" s="2" t="s">
        <v>152</v>
      </c>
      <c r="CN5" s="2" t="s">
        <v>136</v>
      </c>
      <c r="CO5" s="49" t="s">
        <v>141</v>
      </c>
      <c r="CP5" s="49" t="s">
        <v>142</v>
      </c>
      <c r="CQ5" s="49"/>
      <c r="CR5" s="2"/>
      <c r="CS5" s="59" t="s">
        <v>140</v>
      </c>
      <c r="CT5" s="59" t="s">
        <v>140</v>
      </c>
      <c r="CU5" s="2">
        <v>100</v>
      </c>
      <c r="CV5" s="2">
        <v>100</v>
      </c>
      <c r="CW5" s="2">
        <v>100</v>
      </c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35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</row>
    <row r="6" spans="1:192" ht="15.75" customHeight="1">
      <c r="A6" s="190">
        <v>20003</v>
      </c>
      <c r="B6" s="23" t="s">
        <v>127</v>
      </c>
      <c r="C6" s="3">
        <v>90.2</v>
      </c>
      <c r="D6" s="1">
        <v>9</v>
      </c>
      <c r="E6" s="3">
        <v>8</v>
      </c>
      <c r="F6" s="1">
        <v>17</v>
      </c>
      <c r="G6" s="3">
        <v>10</v>
      </c>
      <c r="H6" s="1">
        <v>8.9</v>
      </c>
      <c r="I6" s="15">
        <v>9.1999999999999993</v>
      </c>
      <c r="J6" s="3" t="s">
        <v>128</v>
      </c>
      <c r="K6" s="26">
        <v>2.469E-2</v>
      </c>
      <c r="L6" s="26">
        <v>2.877E-2</v>
      </c>
      <c r="M6" s="26">
        <v>4.2700000000000004E-3</v>
      </c>
      <c r="N6" s="27">
        <v>2.469E-2</v>
      </c>
      <c r="O6" s="27">
        <v>2.877E-2</v>
      </c>
      <c r="P6" s="27">
        <v>4.2700000000000004E-3</v>
      </c>
      <c r="Q6" s="27">
        <v>0.86699999999999999</v>
      </c>
      <c r="R6" s="27">
        <v>6.0999999999999999E-2</v>
      </c>
      <c r="S6" s="27">
        <v>2.4E-2</v>
      </c>
      <c r="T6" s="27">
        <v>1.7999999999999999E-2</v>
      </c>
      <c r="U6" s="27">
        <v>2.4E-2</v>
      </c>
      <c r="V6" s="27">
        <v>6.0000000000000001E-3</v>
      </c>
      <c r="W6" s="52">
        <v>82</v>
      </c>
      <c r="X6" s="18">
        <v>0.81714285714285717</v>
      </c>
      <c r="Y6" s="28">
        <v>143</v>
      </c>
      <c r="Z6" s="27">
        <v>5.7000000000000002E-2</v>
      </c>
      <c r="AA6" s="27">
        <v>2.3E-2</v>
      </c>
      <c r="AB6" s="27">
        <v>1.7000000000000001E-2</v>
      </c>
      <c r="AC6" s="27">
        <v>2.3E-2</v>
      </c>
      <c r="AD6" s="27">
        <f>AC6+AA6</f>
        <v>4.5999999999999999E-2</v>
      </c>
      <c r="AE6" s="27">
        <v>6.0000000000000001E-3</v>
      </c>
      <c r="AF6" s="1" t="s">
        <v>129</v>
      </c>
      <c r="AG6" s="3" t="s">
        <v>130</v>
      </c>
      <c r="AH6" s="3" t="s">
        <v>131</v>
      </c>
      <c r="AI6" s="3">
        <v>12</v>
      </c>
      <c r="AJ6" s="3">
        <v>71</v>
      </c>
      <c r="AK6" s="3">
        <v>3</v>
      </c>
      <c r="AL6" s="3" t="s">
        <v>132</v>
      </c>
      <c r="AM6" s="1">
        <v>166</v>
      </c>
      <c r="AN6" s="3">
        <v>95</v>
      </c>
      <c r="AO6" s="1">
        <v>44</v>
      </c>
      <c r="AP6" s="3">
        <v>73</v>
      </c>
      <c r="AQ6" s="1">
        <v>35</v>
      </c>
      <c r="AR6" s="3">
        <v>88</v>
      </c>
      <c r="AS6" s="1">
        <v>36</v>
      </c>
      <c r="AT6" s="3">
        <v>90</v>
      </c>
      <c r="AU6" s="1">
        <v>78</v>
      </c>
      <c r="AV6" s="3">
        <v>98</v>
      </c>
      <c r="AW6" s="1">
        <v>48</v>
      </c>
      <c r="AX6" s="3">
        <v>60</v>
      </c>
      <c r="AY6" s="30">
        <f>NORMINV(AV6/100,0,1)-NORMINV(1-(AX6/100),0,1)</f>
        <v>2.3070960137676217</v>
      </c>
      <c r="AZ6" s="31">
        <f>NORMSINV((AV6*(80/100)+0.5)/81)-NORMSINV(1-(AX6*(80/100)+0.5)/81)</f>
        <v>2.194514540497277</v>
      </c>
      <c r="BA6" s="1">
        <v>25</v>
      </c>
      <c r="BB6" s="3">
        <v>83</v>
      </c>
      <c r="BC6" s="1">
        <v>12</v>
      </c>
      <c r="BD6" s="3">
        <v>80</v>
      </c>
      <c r="BE6" s="1">
        <v>13</v>
      </c>
      <c r="BF6" s="3">
        <v>87</v>
      </c>
      <c r="BG6" s="1">
        <v>28</v>
      </c>
      <c r="BH6" s="3">
        <v>93</v>
      </c>
      <c r="BI6" s="1">
        <v>29</v>
      </c>
      <c r="BJ6" s="3">
        <v>97</v>
      </c>
      <c r="BK6" s="1">
        <v>51</v>
      </c>
      <c r="BL6" s="3">
        <v>80</v>
      </c>
      <c r="BM6" s="1">
        <v>143</v>
      </c>
      <c r="BN6" s="3">
        <v>77</v>
      </c>
      <c r="BO6" s="21">
        <f>(BM6/204)*100</f>
        <v>70.098039215686271</v>
      </c>
      <c r="BP6" s="1">
        <v>47</v>
      </c>
      <c r="BQ6" s="3">
        <v>90</v>
      </c>
      <c r="BR6" s="53" t="s">
        <v>133</v>
      </c>
      <c r="BS6" s="3">
        <v>4.4000000000000004</v>
      </c>
      <c r="BT6" s="1">
        <v>36</v>
      </c>
      <c r="BU6" s="3">
        <v>90</v>
      </c>
      <c r="BV6" s="3">
        <v>2.4500000000000002</v>
      </c>
      <c r="BW6" s="1">
        <v>39</v>
      </c>
      <c r="BX6" s="3">
        <v>98</v>
      </c>
      <c r="BY6" s="3">
        <v>6.55</v>
      </c>
      <c r="BZ6" s="23" t="s">
        <v>134</v>
      </c>
      <c r="CA6" s="23" t="s">
        <v>134</v>
      </c>
      <c r="CB6" s="33">
        <v>0</v>
      </c>
      <c r="CC6" s="34">
        <v>0</v>
      </c>
      <c r="CD6" s="3">
        <v>94</v>
      </c>
      <c r="CE6" s="3">
        <v>94</v>
      </c>
      <c r="CF6" s="3">
        <v>100</v>
      </c>
      <c r="CG6" s="1">
        <v>100</v>
      </c>
      <c r="CH6" s="5" t="s">
        <v>153</v>
      </c>
      <c r="CI6" s="3" t="s">
        <v>136</v>
      </c>
      <c r="CJ6" s="3" t="s">
        <v>136</v>
      </c>
      <c r="CK6" s="3" t="s">
        <v>136</v>
      </c>
      <c r="CL6" s="1" t="s">
        <v>151</v>
      </c>
      <c r="CM6" s="3" t="s">
        <v>143</v>
      </c>
      <c r="CN6" s="3" t="s">
        <v>136</v>
      </c>
      <c r="CO6" s="3" t="s">
        <v>136</v>
      </c>
      <c r="CP6" s="3" t="s">
        <v>136</v>
      </c>
      <c r="CQ6" s="3">
        <v>1</v>
      </c>
      <c r="CS6" s="1" t="s">
        <v>138</v>
      </c>
      <c r="CT6" s="1" t="s">
        <v>138</v>
      </c>
      <c r="CU6" s="1" t="s">
        <v>138</v>
      </c>
      <c r="CV6" s="1" t="s">
        <v>138</v>
      </c>
      <c r="CW6" s="1" t="s">
        <v>138</v>
      </c>
    </row>
    <row r="7" spans="1:192" ht="15.75" customHeight="1">
      <c r="A7" s="190">
        <v>20003</v>
      </c>
      <c r="B7" s="60"/>
      <c r="C7" s="10">
        <v>92.4</v>
      </c>
      <c r="D7" s="12">
        <v>10</v>
      </c>
      <c r="E7" s="10">
        <v>9</v>
      </c>
      <c r="F7" s="12">
        <v>19</v>
      </c>
      <c r="G7" s="10">
        <v>8.8000000000000007</v>
      </c>
      <c r="H7" s="12">
        <v>9.5</v>
      </c>
      <c r="I7" s="15">
        <v>9</v>
      </c>
      <c r="J7" s="10" t="s">
        <v>128</v>
      </c>
      <c r="K7" s="61"/>
      <c r="L7" s="61"/>
      <c r="M7" s="61"/>
      <c r="N7" s="62"/>
      <c r="O7" s="62"/>
      <c r="P7" s="62"/>
      <c r="Q7" s="62">
        <v>0.89900000000000002</v>
      </c>
      <c r="R7" s="62">
        <v>3.1E-2</v>
      </c>
      <c r="S7" s="62">
        <v>6.0000000000000001E-3</v>
      </c>
      <c r="T7" s="62">
        <v>1.2999999999999999E-2</v>
      </c>
      <c r="U7" s="62">
        <v>3.7999999999999999E-2</v>
      </c>
      <c r="V7" s="62">
        <v>1.2999999999999999E-2</v>
      </c>
      <c r="W7" s="63">
        <v>82</v>
      </c>
      <c r="X7" s="64">
        <v>0.81699999999999995</v>
      </c>
      <c r="Y7" s="65">
        <v>143</v>
      </c>
      <c r="Z7" s="62">
        <v>2.9000000000000001E-2</v>
      </c>
      <c r="AA7" s="62">
        <v>6.0000000000000001E-3</v>
      </c>
      <c r="AB7" s="62">
        <v>1.0999999999999999E-2</v>
      </c>
      <c r="AC7" s="62">
        <v>3.4000000000000002E-2</v>
      </c>
      <c r="AD7" s="62">
        <f>AC7+AA7</f>
        <v>0.04</v>
      </c>
      <c r="AE7" s="62">
        <v>1.0999999999999999E-2</v>
      </c>
      <c r="AF7" s="12" t="s">
        <v>129</v>
      </c>
      <c r="AG7" s="10" t="s">
        <v>130</v>
      </c>
      <c r="AH7" s="10" t="s">
        <v>131</v>
      </c>
      <c r="AI7" s="10"/>
      <c r="AJ7" s="10"/>
      <c r="AK7" s="10"/>
      <c r="AL7" s="10"/>
      <c r="AM7" s="12"/>
      <c r="AN7" s="10"/>
      <c r="AO7" s="12"/>
      <c r="AP7" s="10"/>
      <c r="AQ7" s="12"/>
      <c r="AR7" s="10"/>
      <c r="AS7" s="12"/>
      <c r="AT7" s="10"/>
      <c r="AU7" s="12"/>
      <c r="AV7" s="10"/>
      <c r="AW7" s="12"/>
      <c r="AX7" s="10"/>
      <c r="AY7" s="66"/>
      <c r="AZ7" s="67"/>
      <c r="BA7" s="12"/>
      <c r="BB7" s="10"/>
      <c r="BC7" s="12"/>
      <c r="BD7" s="10"/>
      <c r="BE7" s="12"/>
      <c r="BF7" s="10"/>
      <c r="BG7" s="12"/>
      <c r="BH7" s="10"/>
      <c r="BI7" s="12"/>
      <c r="BJ7" s="10"/>
      <c r="BK7" s="12"/>
      <c r="BL7" s="10"/>
      <c r="BM7" s="12"/>
      <c r="BN7" s="10"/>
      <c r="BO7" s="68"/>
      <c r="BP7" s="12"/>
      <c r="BQ7" s="10"/>
      <c r="BR7" s="69"/>
      <c r="BS7" s="10"/>
      <c r="BT7" s="12"/>
      <c r="BU7" s="10"/>
      <c r="BV7" s="10"/>
      <c r="BW7" s="12"/>
      <c r="BX7" s="10"/>
      <c r="BY7" s="10"/>
      <c r="BZ7" s="60"/>
      <c r="CA7" s="60"/>
      <c r="CB7" s="70"/>
      <c r="CC7" s="71"/>
      <c r="CD7" s="10"/>
      <c r="CE7" s="10"/>
      <c r="CF7" s="10"/>
      <c r="CG7" s="12"/>
      <c r="CH7" s="7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2" t="s">
        <v>140</v>
      </c>
      <c r="CT7" s="12" t="s">
        <v>140</v>
      </c>
      <c r="CU7" s="12">
        <v>100</v>
      </c>
      <c r="CV7" s="12">
        <v>100</v>
      </c>
      <c r="CW7" s="12">
        <v>100</v>
      </c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</row>
    <row r="8" spans="1:192" s="10" customFormat="1" ht="15.75" customHeight="1">
      <c r="A8" s="190">
        <v>20004</v>
      </c>
      <c r="B8" s="72" t="s">
        <v>150</v>
      </c>
      <c r="C8" s="3">
        <v>81.5</v>
      </c>
      <c r="D8" s="3">
        <v>9</v>
      </c>
      <c r="E8" s="3">
        <v>6</v>
      </c>
      <c r="F8" s="3">
        <v>15</v>
      </c>
      <c r="G8" s="3">
        <v>8.5500000000000007</v>
      </c>
      <c r="H8" s="3">
        <v>9</v>
      </c>
      <c r="I8" s="35">
        <v>8.1999999999999993</v>
      </c>
      <c r="J8" s="3" t="s">
        <v>154</v>
      </c>
      <c r="K8" s="27">
        <v>9.9570000000000006E-2</v>
      </c>
      <c r="L8" s="27">
        <v>6.0499999999999998E-3</v>
      </c>
      <c r="M8" s="27">
        <v>2.843E-2</v>
      </c>
      <c r="N8" s="74">
        <v>0.05</v>
      </c>
      <c r="O8" s="74">
        <v>1.6E-2</v>
      </c>
      <c r="P8" s="74">
        <v>3.7999999999999999E-2</v>
      </c>
      <c r="Q8" s="27">
        <v>0.83499999999999996</v>
      </c>
      <c r="R8" s="27">
        <v>6.0999999999999999E-2</v>
      </c>
      <c r="S8" s="27">
        <v>0</v>
      </c>
      <c r="T8" s="27">
        <v>6.0999999999999999E-2</v>
      </c>
      <c r="U8" s="27">
        <v>4.2999999999999997E-2</v>
      </c>
      <c r="V8" s="27">
        <v>0</v>
      </c>
      <c r="W8" s="52">
        <v>78</v>
      </c>
      <c r="X8" s="27">
        <v>0.78300000000000003</v>
      </c>
      <c r="Y8" s="52">
        <v>137</v>
      </c>
      <c r="Z8" s="27">
        <v>5.7000000000000002E-2</v>
      </c>
      <c r="AA8" s="27">
        <v>0</v>
      </c>
      <c r="AB8" s="27">
        <v>5.7000000000000002E-2</v>
      </c>
      <c r="AC8" s="27">
        <v>0.04</v>
      </c>
      <c r="AD8" s="75">
        <f>AC8+AA8</f>
        <v>0.04</v>
      </c>
      <c r="AE8" s="27">
        <v>0</v>
      </c>
      <c r="AF8" s="3" t="s">
        <v>155</v>
      </c>
      <c r="AG8" s="3" t="s">
        <v>156</v>
      </c>
      <c r="AH8" s="3" t="s">
        <v>157</v>
      </c>
      <c r="AI8" s="3">
        <v>13</v>
      </c>
      <c r="AJ8" s="3">
        <v>47</v>
      </c>
      <c r="AK8" s="3">
        <v>82</v>
      </c>
      <c r="AL8" s="3" t="s">
        <v>158</v>
      </c>
      <c r="AM8" s="3">
        <v>170</v>
      </c>
      <c r="AN8" s="3">
        <v>97</v>
      </c>
      <c r="AO8" s="3">
        <v>39</v>
      </c>
      <c r="AP8" s="3">
        <v>65</v>
      </c>
      <c r="AQ8" s="3">
        <v>34</v>
      </c>
      <c r="AR8" s="3">
        <v>85</v>
      </c>
      <c r="AS8" s="3">
        <v>33</v>
      </c>
      <c r="AT8" s="3">
        <v>83</v>
      </c>
      <c r="AU8" s="3">
        <v>66</v>
      </c>
      <c r="AV8" s="3">
        <v>83</v>
      </c>
      <c r="AW8" s="3">
        <v>77</v>
      </c>
      <c r="AX8" s="3">
        <v>96</v>
      </c>
      <c r="AY8" s="30">
        <f>NORMINV(AV8/100,0,1)-NORMINV(1-(AX8/100),0,1)</f>
        <v>2.7048513243983647</v>
      </c>
      <c r="AZ8" s="31">
        <f t="shared" ref="AZ8:AZ18" si="0">NORMSINV((AV8*(80/100)+0.5)/81)-NORMSINV(1-(AX8*(80/100)+0.5)/81)</f>
        <v>2.6264645572059115</v>
      </c>
      <c r="BA8" s="3">
        <v>24</v>
      </c>
      <c r="BB8" s="3">
        <v>80</v>
      </c>
      <c r="BC8" s="3">
        <v>13</v>
      </c>
      <c r="BD8" s="3">
        <v>87</v>
      </c>
      <c r="BE8" s="3">
        <v>11</v>
      </c>
      <c r="BF8" s="3">
        <v>73</v>
      </c>
      <c r="BG8" s="3">
        <v>24</v>
      </c>
      <c r="BH8" s="3">
        <v>80</v>
      </c>
      <c r="BI8" s="3">
        <v>29</v>
      </c>
      <c r="BJ8" s="3">
        <v>97</v>
      </c>
      <c r="BK8" s="3">
        <v>46</v>
      </c>
      <c r="BL8" s="3">
        <v>72</v>
      </c>
      <c r="BM8" s="3">
        <v>163</v>
      </c>
      <c r="BN8" s="3">
        <v>82</v>
      </c>
      <c r="BO8" s="21">
        <f>(BM8/204)*100</f>
        <v>79.901960784313729</v>
      </c>
      <c r="BP8" s="3">
        <v>43</v>
      </c>
      <c r="BQ8" s="3">
        <v>83</v>
      </c>
      <c r="BR8" s="3" t="s">
        <v>133</v>
      </c>
      <c r="BS8" s="3">
        <v>3.2</v>
      </c>
      <c r="BT8" s="3">
        <v>38</v>
      </c>
      <c r="BU8" s="3">
        <v>95</v>
      </c>
      <c r="BV8" s="3">
        <v>1.67</v>
      </c>
      <c r="BW8" s="3">
        <v>40</v>
      </c>
      <c r="BX8" s="3">
        <v>100</v>
      </c>
      <c r="BY8" s="3">
        <v>3</v>
      </c>
      <c r="BZ8" s="3" t="s">
        <v>159</v>
      </c>
      <c r="CA8" s="3" t="s">
        <v>159</v>
      </c>
      <c r="CB8" s="33">
        <v>18</v>
      </c>
      <c r="CC8" s="34">
        <v>0.10285714285714286</v>
      </c>
      <c r="CD8" s="3">
        <v>94</v>
      </c>
      <c r="CE8" s="3">
        <v>94</v>
      </c>
      <c r="CF8" s="3">
        <v>97</v>
      </c>
      <c r="CG8" s="3">
        <v>80</v>
      </c>
      <c r="CH8" s="3" t="s">
        <v>160</v>
      </c>
      <c r="CI8" s="3" t="s">
        <v>161</v>
      </c>
      <c r="CJ8" s="3" t="s">
        <v>162</v>
      </c>
      <c r="CK8" s="49" t="s">
        <v>163</v>
      </c>
      <c r="CL8" s="3"/>
      <c r="CM8" s="3" t="s">
        <v>164</v>
      </c>
      <c r="CN8" s="3" t="s">
        <v>136</v>
      </c>
      <c r="CO8" s="3" t="s">
        <v>162</v>
      </c>
      <c r="CP8" s="3" t="s">
        <v>136</v>
      </c>
      <c r="CQ8" s="3">
        <v>1</v>
      </c>
      <c r="CR8" s="3"/>
      <c r="CS8" s="1" t="s">
        <v>138</v>
      </c>
      <c r="CT8" s="1" t="s">
        <v>138</v>
      </c>
      <c r="CU8" s="1" t="s">
        <v>138</v>
      </c>
      <c r="CV8" s="1" t="s">
        <v>138</v>
      </c>
      <c r="CW8" s="1" t="s">
        <v>138</v>
      </c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5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</row>
    <row r="9" spans="1:192" ht="15" customHeight="1">
      <c r="A9" s="190">
        <v>20004</v>
      </c>
      <c r="B9" s="8"/>
      <c r="C9" s="10">
        <v>88.9</v>
      </c>
      <c r="D9" s="10">
        <v>9</v>
      </c>
      <c r="E9" s="10">
        <v>9</v>
      </c>
      <c r="F9" s="10">
        <v>18</v>
      </c>
      <c r="G9" s="10">
        <v>9.75</v>
      </c>
      <c r="H9" s="10">
        <v>8.9</v>
      </c>
      <c r="I9" s="35">
        <v>7.8</v>
      </c>
      <c r="J9" s="10" t="s">
        <v>154</v>
      </c>
      <c r="K9" s="77">
        <v>8.8120000000000004E-2</v>
      </c>
      <c r="L9" s="77">
        <v>6.5599999999999999E-3</v>
      </c>
      <c r="M9" s="77">
        <v>9.9000000000000008E-3</v>
      </c>
      <c r="N9" s="77">
        <v>8.8120000000000004E-2</v>
      </c>
      <c r="O9" s="77">
        <v>6.5599999999999999E-3</v>
      </c>
      <c r="P9" s="77">
        <v>9.9000000000000008E-3</v>
      </c>
      <c r="Q9" s="77">
        <v>0.82799999999999996</v>
      </c>
      <c r="R9" s="77">
        <v>4.4999999999999998E-2</v>
      </c>
      <c r="S9" s="77">
        <v>6.0000000000000001E-3</v>
      </c>
      <c r="T9" s="77">
        <v>2.5000000000000001E-2</v>
      </c>
      <c r="U9" s="77">
        <v>9.6000000000000002E-2</v>
      </c>
      <c r="V9" s="77">
        <v>0</v>
      </c>
      <c r="W9" s="8">
        <v>74</v>
      </c>
      <c r="X9" s="77">
        <v>0.74299999999999999</v>
      </c>
      <c r="Y9" s="8">
        <v>130</v>
      </c>
      <c r="Z9" s="77">
        <v>0.04</v>
      </c>
      <c r="AA9" s="77">
        <v>6.0000000000000001E-3</v>
      </c>
      <c r="AB9" s="77">
        <v>2.3E-2</v>
      </c>
      <c r="AC9" s="77">
        <v>8.5999999999999993E-2</v>
      </c>
      <c r="AD9" s="77">
        <v>9.1999999999999998E-2</v>
      </c>
      <c r="AE9" s="77">
        <v>0</v>
      </c>
      <c r="AF9" s="10" t="s">
        <v>155</v>
      </c>
      <c r="AG9" s="10" t="s">
        <v>156</v>
      </c>
      <c r="AH9" s="10" t="s">
        <v>157</v>
      </c>
      <c r="AI9" s="10">
        <v>13</v>
      </c>
      <c r="AJ9" s="10"/>
      <c r="AK9" s="10"/>
      <c r="AL9" s="10" t="s">
        <v>158</v>
      </c>
      <c r="AM9" s="78" t="s">
        <v>165</v>
      </c>
      <c r="AN9" s="78" t="s">
        <v>165</v>
      </c>
      <c r="AO9" s="78"/>
      <c r="AP9" s="78"/>
      <c r="AQ9" s="78"/>
      <c r="AR9" s="78"/>
      <c r="AS9" s="78"/>
      <c r="AT9" s="78"/>
      <c r="AU9" s="78"/>
      <c r="AV9" s="78"/>
      <c r="AW9" s="78"/>
      <c r="AX9" s="78"/>
      <c r="AY9" s="78"/>
      <c r="AZ9" s="31">
        <f t="shared" si="0"/>
        <v>-5.0042129466861276</v>
      </c>
      <c r="BA9" s="78"/>
      <c r="BB9" s="78"/>
      <c r="BC9" s="78"/>
      <c r="BD9" s="78"/>
      <c r="BE9" s="78"/>
      <c r="BF9" s="78"/>
      <c r="BG9" s="78"/>
      <c r="BH9" s="78"/>
      <c r="BI9" s="78"/>
      <c r="BJ9" s="78"/>
      <c r="BK9" s="78"/>
      <c r="BL9" s="78"/>
      <c r="BM9" s="78"/>
      <c r="BN9" s="78"/>
      <c r="BO9" s="78"/>
      <c r="BP9" s="78"/>
      <c r="BQ9" s="78"/>
      <c r="BR9" s="78"/>
      <c r="BS9" s="78"/>
      <c r="BT9" s="78"/>
      <c r="BU9" s="78"/>
      <c r="BV9" s="78"/>
      <c r="BW9" s="78">
        <v>39</v>
      </c>
      <c r="BX9" s="78">
        <v>98</v>
      </c>
      <c r="BY9" s="78">
        <v>2.79</v>
      </c>
      <c r="BZ9" s="78"/>
      <c r="CA9" s="78"/>
      <c r="CB9" s="78" t="s">
        <v>165</v>
      </c>
      <c r="CC9" s="78" t="s">
        <v>165</v>
      </c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79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</row>
    <row r="10" spans="1:192" ht="60">
      <c r="A10" s="190">
        <v>20005</v>
      </c>
      <c r="B10" s="23" t="s">
        <v>166</v>
      </c>
      <c r="C10" s="3">
        <v>87.8</v>
      </c>
      <c r="D10" s="1">
        <v>9</v>
      </c>
      <c r="E10" s="3">
        <v>9</v>
      </c>
      <c r="F10" s="1">
        <v>18</v>
      </c>
      <c r="G10" s="3">
        <v>9.1999999999999993</v>
      </c>
      <c r="H10" s="1">
        <v>8.8000000000000007</v>
      </c>
      <c r="I10" s="15">
        <v>7.9</v>
      </c>
      <c r="J10" s="3" t="s">
        <v>128</v>
      </c>
      <c r="K10" s="27">
        <v>2.367E-2</v>
      </c>
      <c r="L10" s="27">
        <v>2.87E-2</v>
      </c>
      <c r="M10" s="27">
        <v>2.0219999999999998E-2</v>
      </c>
      <c r="N10" s="27">
        <v>2.367E-2</v>
      </c>
      <c r="O10" s="27">
        <v>2.87E-2</v>
      </c>
      <c r="P10" s="27">
        <v>2.0219999999999998E-2</v>
      </c>
      <c r="Q10" s="27">
        <v>0.85199999999999998</v>
      </c>
      <c r="R10" s="27">
        <v>4.4999999999999998E-2</v>
      </c>
      <c r="S10" s="27">
        <v>6.0000000000000001E-3</v>
      </c>
      <c r="T10" s="27">
        <v>5.1999999999999998E-2</v>
      </c>
      <c r="U10" s="27">
        <v>3.9E-2</v>
      </c>
      <c r="V10" s="27">
        <v>6.0000000000000001E-3</v>
      </c>
      <c r="W10" s="52">
        <v>75</v>
      </c>
      <c r="X10" s="27">
        <v>0.754</v>
      </c>
      <c r="Y10" s="52">
        <v>132</v>
      </c>
      <c r="Z10" s="27">
        <v>0.04</v>
      </c>
      <c r="AA10" s="27">
        <v>6.0000000000000001E-3</v>
      </c>
      <c r="AB10" s="27">
        <v>4.5999999999999999E-2</v>
      </c>
      <c r="AC10" s="27">
        <v>3.4000000000000002E-2</v>
      </c>
      <c r="AD10" s="27">
        <f>AC10+AA10</f>
        <v>0.04</v>
      </c>
      <c r="AE10" s="27">
        <v>6.0000000000000001E-3</v>
      </c>
      <c r="AF10" s="1" t="s">
        <v>167</v>
      </c>
      <c r="AG10" s="3" t="s">
        <v>130</v>
      </c>
      <c r="AH10" s="3" t="s">
        <v>146</v>
      </c>
      <c r="AI10" s="3">
        <v>15</v>
      </c>
      <c r="AJ10" s="3">
        <v>57</v>
      </c>
      <c r="AK10" s="3">
        <v>28</v>
      </c>
      <c r="AL10" s="3" t="s">
        <v>132</v>
      </c>
      <c r="AM10" s="1">
        <v>171</v>
      </c>
      <c r="AN10" s="3">
        <v>98</v>
      </c>
      <c r="AO10" s="1">
        <v>48</v>
      </c>
      <c r="AP10" s="3">
        <v>80</v>
      </c>
      <c r="AQ10" s="1">
        <v>38</v>
      </c>
      <c r="AR10" s="3">
        <v>95</v>
      </c>
      <c r="AS10" s="1">
        <v>38</v>
      </c>
      <c r="AT10" s="3">
        <v>95</v>
      </c>
      <c r="AU10" s="1">
        <v>78</v>
      </c>
      <c r="AV10" s="3">
        <v>98</v>
      </c>
      <c r="AW10" s="1">
        <v>75</v>
      </c>
      <c r="AX10" s="3">
        <v>94</v>
      </c>
      <c r="AY10" s="30">
        <f t="shared" ref="AY10:AY16" si="1">NORMINV(AV10/100,0,1)-NORMINV(1-(AX10/100),0,1)</f>
        <v>3.6085225052286747</v>
      </c>
      <c r="AZ10" s="31">
        <f t="shared" si="0"/>
        <v>3.4550644421580019</v>
      </c>
      <c r="BA10" s="1">
        <v>25</v>
      </c>
      <c r="BB10" s="3">
        <v>83</v>
      </c>
      <c r="BC10" s="1">
        <v>13</v>
      </c>
      <c r="BD10" s="3">
        <v>87</v>
      </c>
      <c r="BE10" s="1">
        <v>12</v>
      </c>
      <c r="BF10" s="3">
        <v>80</v>
      </c>
      <c r="BG10" s="1">
        <v>23</v>
      </c>
      <c r="BH10" s="3">
        <v>77</v>
      </c>
      <c r="BI10" s="1">
        <v>24</v>
      </c>
      <c r="BJ10" s="3">
        <v>80</v>
      </c>
      <c r="BK10" s="1">
        <v>25</v>
      </c>
      <c r="BL10" s="3">
        <v>39</v>
      </c>
      <c r="BM10" s="1">
        <v>144</v>
      </c>
      <c r="BN10" s="3">
        <v>74</v>
      </c>
      <c r="BO10" s="21">
        <f t="shared" ref="BO10:BO15" si="2">(BM10/204)*100</f>
        <v>70.588235294117652</v>
      </c>
      <c r="BP10" s="1">
        <v>37</v>
      </c>
      <c r="BQ10" s="3">
        <v>71</v>
      </c>
      <c r="BR10" s="80" t="s">
        <v>133</v>
      </c>
      <c r="BS10" s="3">
        <v>2.2000000000000002</v>
      </c>
      <c r="BT10" s="1">
        <v>31</v>
      </c>
      <c r="BU10" s="3">
        <v>78</v>
      </c>
      <c r="BV10" s="3">
        <v>1.23</v>
      </c>
      <c r="BW10" s="1">
        <v>39</v>
      </c>
      <c r="BX10" s="3">
        <v>98</v>
      </c>
      <c r="BY10" s="3">
        <v>3.67</v>
      </c>
      <c r="BZ10" s="3" t="s">
        <v>134</v>
      </c>
      <c r="CA10" s="3" t="s">
        <v>134</v>
      </c>
      <c r="CB10" s="33">
        <v>2</v>
      </c>
      <c r="CC10" s="34">
        <v>1.1428571428571429E-2</v>
      </c>
      <c r="CD10" s="3">
        <v>89</v>
      </c>
      <c r="CE10" s="3">
        <v>90</v>
      </c>
      <c r="CF10" s="3">
        <v>91</v>
      </c>
      <c r="CG10" s="1">
        <v>-40</v>
      </c>
      <c r="CH10" s="5" t="s">
        <v>140</v>
      </c>
      <c r="CI10" s="3" t="s">
        <v>136</v>
      </c>
      <c r="CJ10" s="3" t="s">
        <v>136</v>
      </c>
      <c r="CK10" s="3" t="s">
        <v>136</v>
      </c>
      <c r="CL10" s="1"/>
      <c r="CM10" s="3" t="s">
        <v>168</v>
      </c>
      <c r="CN10" s="3" t="s">
        <v>136</v>
      </c>
      <c r="CO10" s="3" t="s">
        <v>136</v>
      </c>
      <c r="CP10" s="3" t="s">
        <v>136</v>
      </c>
      <c r="CQ10" s="3">
        <v>1</v>
      </c>
      <c r="CR10" s="1"/>
      <c r="CS10" s="1" t="s">
        <v>138</v>
      </c>
      <c r="CT10" s="1" t="s">
        <v>138</v>
      </c>
      <c r="CU10" s="1" t="s">
        <v>138</v>
      </c>
      <c r="CV10" s="1" t="s">
        <v>138</v>
      </c>
      <c r="CW10" s="1" t="s">
        <v>138</v>
      </c>
    </row>
    <row r="11" spans="1:192" ht="45">
      <c r="A11" s="190">
        <v>20005</v>
      </c>
      <c r="B11" s="55" t="s">
        <v>150</v>
      </c>
      <c r="C11" s="2">
        <v>88.2</v>
      </c>
      <c r="D11" s="39">
        <v>9</v>
      </c>
      <c r="E11" s="2">
        <v>9</v>
      </c>
      <c r="F11" s="39">
        <v>18</v>
      </c>
      <c r="G11" s="2">
        <v>9</v>
      </c>
      <c r="H11" s="39">
        <v>9.1999999999999993</v>
      </c>
      <c r="I11" s="15">
        <v>7.9</v>
      </c>
      <c r="J11" s="2" t="s">
        <v>128</v>
      </c>
      <c r="K11" s="40">
        <v>2.6509999999999999E-2</v>
      </c>
      <c r="L11" s="40">
        <v>2.511E-2</v>
      </c>
      <c r="M11" s="40">
        <v>1.4829999999999999E-2</v>
      </c>
      <c r="N11" s="40">
        <v>2.6509999999999999E-2</v>
      </c>
      <c r="O11" s="40">
        <v>2.511E-2</v>
      </c>
      <c r="P11" s="40">
        <v>1.4829999999999999E-2</v>
      </c>
      <c r="Q11" s="40">
        <v>0.84099999999999997</v>
      </c>
      <c r="R11" s="40">
        <v>5.5E-2</v>
      </c>
      <c r="S11" s="40">
        <v>6.0000000000000001E-3</v>
      </c>
      <c r="T11" s="40">
        <v>4.2999999999999997E-2</v>
      </c>
      <c r="U11" s="40">
        <v>5.5E-2</v>
      </c>
      <c r="V11" s="40">
        <v>0</v>
      </c>
      <c r="W11" s="56">
        <v>79</v>
      </c>
      <c r="X11" s="40">
        <v>0.78900000000000003</v>
      </c>
      <c r="Y11" s="57">
        <v>138</v>
      </c>
      <c r="Z11" s="40">
        <v>5.0999999999999997E-2</v>
      </c>
      <c r="AA11" s="40">
        <v>6.0000000000000001E-3</v>
      </c>
      <c r="AB11" s="40">
        <v>0.04</v>
      </c>
      <c r="AC11" s="40">
        <v>5.0999999999999997E-2</v>
      </c>
      <c r="AD11" s="40">
        <v>5.7000000000000002E-2</v>
      </c>
      <c r="AE11" s="40">
        <v>0</v>
      </c>
      <c r="AF11" s="38" t="s">
        <v>167</v>
      </c>
      <c r="AG11" s="38" t="s">
        <v>130</v>
      </c>
      <c r="AH11" s="36" t="s">
        <v>146</v>
      </c>
      <c r="AI11" s="36">
        <v>15</v>
      </c>
      <c r="AJ11" s="36">
        <v>62</v>
      </c>
      <c r="AK11" s="36">
        <v>88</v>
      </c>
      <c r="AL11" s="2" t="s">
        <v>132</v>
      </c>
      <c r="AM11" s="39">
        <v>165</v>
      </c>
      <c r="AN11" s="2">
        <v>94</v>
      </c>
      <c r="AO11" s="39">
        <v>40</v>
      </c>
      <c r="AP11" s="2">
        <v>67</v>
      </c>
      <c r="AQ11" s="39">
        <v>38</v>
      </c>
      <c r="AR11" s="2">
        <v>95</v>
      </c>
      <c r="AS11" s="39">
        <v>37</v>
      </c>
      <c r="AT11" s="2">
        <v>93</v>
      </c>
      <c r="AU11" s="39">
        <v>72</v>
      </c>
      <c r="AV11" s="2">
        <v>90</v>
      </c>
      <c r="AW11" s="39">
        <v>73</v>
      </c>
      <c r="AX11" s="2">
        <v>91</v>
      </c>
      <c r="AY11" s="46">
        <f t="shared" si="1"/>
        <v>2.6223065992348165</v>
      </c>
      <c r="AZ11" s="31">
        <f t="shared" si="0"/>
        <v>2.5641189668285032</v>
      </c>
      <c r="BA11" s="39">
        <v>22</v>
      </c>
      <c r="BB11" s="2">
        <v>73</v>
      </c>
      <c r="BC11" s="39">
        <v>11</v>
      </c>
      <c r="BD11" s="2">
        <v>73</v>
      </c>
      <c r="BE11" s="39">
        <v>11</v>
      </c>
      <c r="BF11" s="2">
        <v>73</v>
      </c>
      <c r="BG11" s="39">
        <v>19</v>
      </c>
      <c r="BH11" s="2">
        <v>63</v>
      </c>
      <c r="BI11" s="39">
        <v>28</v>
      </c>
      <c r="BJ11" s="2">
        <v>93</v>
      </c>
      <c r="BK11" s="39">
        <v>29</v>
      </c>
      <c r="BL11" s="2">
        <v>45</v>
      </c>
      <c r="BM11" s="39">
        <v>122</v>
      </c>
      <c r="BN11" s="2">
        <v>65</v>
      </c>
      <c r="BO11" s="47">
        <f t="shared" si="2"/>
        <v>59.803921568627452</v>
      </c>
      <c r="BP11" s="39">
        <v>45</v>
      </c>
      <c r="BQ11" s="2">
        <v>87</v>
      </c>
      <c r="BR11" s="81" t="s">
        <v>139</v>
      </c>
      <c r="BS11" s="2">
        <v>2.2000000000000002</v>
      </c>
      <c r="BT11" s="39">
        <v>37</v>
      </c>
      <c r="BU11" s="2">
        <v>93</v>
      </c>
      <c r="BV11" s="2">
        <v>1.64</v>
      </c>
      <c r="BW11" s="39">
        <v>39</v>
      </c>
      <c r="BX11" s="2">
        <v>98</v>
      </c>
      <c r="BY11" s="2">
        <v>3.6</v>
      </c>
      <c r="BZ11" s="2" t="s">
        <v>134</v>
      </c>
      <c r="CA11" s="2" t="s">
        <v>134</v>
      </c>
      <c r="CB11" s="33">
        <v>3</v>
      </c>
      <c r="CC11" s="34">
        <f>CB11/175</f>
        <v>1.7142857142857144E-2</v>
      </c>
      <c r="CD11" s="2">
        <v>93</v>
      </c>
      <c r="CE11" s="2">
        <v>94</v>
      </c>
      <c r="CF11" s="2">
        <v>96</v>
      </c>
      <c r="CG11" s="39">
        <v>70</v>
      </c>
      <c r="CH11" s="6" t="s">
        <v>140</v>
      </c>
      <c r="CI11" s="2" t="s">
        <v>136</v>
      </c>
      <c r="CJ11" s="82" t="s">
        <v>141</v>
      </c>
      <c r="CK11" s="82" t="s">
        <v>142</v>
      </c>
      <c r="CL11" s="39"/>
      <c r="CM11" s="2" t="s">
        <v>169</v>
      </c>
      <c r="CN11" s="2" t="s">
        <v>136</v>
      </c>
      <c r="CO11" s="39" t="s">
        <v>136</v>
      </c>
      <c r="CP11" s="39" t="s">
        <v>136</v>
      </c>
      <c r="CQ11" s="39">
        <v>1</v>
      </c>
      <c r="CR11" s="39"/>
      <c r="CS11" s="59" t="s">
        <v>140</v>
      </c>
      <c r="CT11" s="59" t="s">
        <v>140</v>
      </c>
      <c r="CU11" s="2">
        <v>100</v>
      </c>
      <c r="CV11" s="2">
        <v>96</v>
      </c>
      <c r="CW11" s="2">
        <v>92</v>
      </c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</row>
    <row r="12" spans="1:192" ht="60">
      <c r="A12" s="190">
        <v>20006</v>
      </c>
      <c r="B12" s="23" t="s">
        <v>166</v>
      </c>
      <c r="C12" s="3">
        <v>78.7</v>
      </c>
      <c r="D12" s="3">
        <v>9</v>
      </c>
      <c r="E12" s="3">
        <v>8</v>
      </c>
      <c r="F12" s="3">
        <v>17</v>
      </c>
      <c r="G12" s="3">
        <v>8.25</v>
      </c>
      <c r="H12" s="3">
        <v>5.0999999999999996</v>
      </c>
      <c r="I12" s="35">
        <v>9</v>
      </c>
      <c r="J12" s="3" t="s">
        <v>145</v>
      </c>
      <c r="K12" s="27">
        <v>6.6269999999999996E-2</v>
      </c>
      <c r="L12" s="27">
        <v>2.0490000000000001E-2</v>
      </c>
      <c r="M12" s="27">
        <v>4.5999999999999999E-3</v>
      </c>
      <c r="N12" s="74">
        <v>0.05</v>
      </c>
      <c r="O12" s="74">
        <v>2.5000000000000001E-2</v>
      </c>
      <c r="P12" s="74">
        <v>4.5999999999999999E-3</v>
      </c>
      <c r="Q12" s="27">
        <v>0.96399999999999997</v>
      </c>
      <c r="R12" s="27">
        <v>2.4E-2</v>
      </c>
      <c r="S12" s="27">
        <v>0</v>
      </c>
      <c r="T12" s="27">
        <v>0</v>
      </c>
      <c r="U12" s="27">
        <v>1.2E-2</v>
      </c>
      <c r="V12" s="27">
        <v>0</v>
      </c>
      <c r="W12" s="52">
        <v>93</v>
      </c>
      <c r="X12" s="27">
        <v>0.93100000000000005</v>
      </c>
      <c r="Y12" s="52">
        <v>163</v>
      </c>
      <c r="Z12" s="27">
        <v>2.3E-2</v>
      </c>
      <c r="AA12" s="27">
        <v>0</v>
      </c>
      <c r="AB12" s="27">
        <v>0</v>
      </c>
      <c r="AC12" s="27">
        <v>1.0999999999999999E-2</v>
      </c>
      <c r="AD12" s="27">
        <f>AC12+AA12</f>
        <v>1.0999999999999999E-2</v>
      </c>
      <c r="AE12" s="27">
        <v>0</v>
      </c>
      <c r="AF12" s="27" t="s">
        <v>129</v>
      </c>
      <c r="AG12" s="3" t="s">
        <v>130</v>
      </c>
      <c r="AH12" s="3" t="s">
        <v>131</v>
      </c>
      <c r="AI12" s="3">
        <v>18</v>
      </c>
      <c r="AJ12" s="3">
        <v>31</v>
      </c>
      <c r="AK12" s="3">
        <v>6</v>
      </c>
      <c r="AL12" s="3" t="s">
        <v>132</v>
      </c>
      <c r="AM12" s="3">
        <v>134</v>
      </c>
      <c r="AN12" s="3">
        <v>77</v>
      </c>
      <c r="AO12" s="3">
        <v>19</v>
      </c>
      <c r="AP12" s="3">
        <v>32</v>
      </c>
      <c r="AQ12" s="3">
        <v>32</v>
      </c>
      <c r="AR12" s="3">
        <v>80</v>
      </c>
      <c r="AS12" s="3">
        <v>29</v>
      </c>
      <c r="AT12" s="3">
        <v>73</v>
      </c>
      <c r="AU12" s="3">
        <v>64</v>
      </c>
      <c r="AV12" s="3">
        <v>80</v>
      </c>
      <c r="AW12" s="3">
        <v>77</v>
      </c>
      <c r="AX12" s="3">
        <v>96</v>
      </c>
      <c r="AY12" s="30">
        <f t="shared" si="1"/>
        <v>2.5923073048250842</v>
      </c>
      <c r="AZ12" s="31">
        <f t="shared" si="0"/>
        <v>2.5167418752890884</v>
      </c>
      <c r="BA12" s="3">
        <v>29</v>
      </c>
      <c r="BB12" s="3">
        <v>97</v>
      </c>
      <c r="BC12" s="3">
        <v>14</v>
      </c>
      <c r="BD12" s="3">
        <v>93</v>
      </c>
      <c r="BE12" s="3">
        <v>15</v>
      </c>
      <c r="BF12" s="3">
        <v>100</v>
      </c>
      <c r="BG12" s="3">
        <v>9</v>
      </c>
      <c r="BH12" s="3">
        <v>30</v>
      </c>
      <c r="BI12" s="3">
        <v>21</v>
      </c>
      <c r="BJ12" s="3">
        <v>70</v>
      </c>
      <c r="BK12" s="3">
        <v>52</v>
      </c>
      <c r="BL12" s="3">
        <v>81</v>
      </c>
      <c r="BM12" s="3">
        <v>151</v>
      </c>
      <c r="BN12" s="3">
        <v>81</v>
      </c>
      <c r="BO12" s="21">
        <f t="shared" si="2"/>
        <v>74.019607843137265</v>
      </c>
      <c r="BP12" s="3">
        <v>40</v>
      </c>
      <c r="BQ12" s="3">
        <v>77</v>
      </c>
      <c r="BR12" s="80" t="s">
        <v>133</v>
      </c>
      <c r="BS12" s="3">
        <v>2</v>
      </c>
      <c r="BT12" s="3">
        <v>33</v>
      </c>
      <c r="BU12" s="3">
        <v>83</v>
      </c>
      <c r="BV12" s="3">
        <v>1.62</v>
      </c>
      <c r="BW12" s="3">
        <v>38</v>
      </c>
      <c r="BX12" s="3">
        <v>95</v>
      </c>
      <c r="BY12" s="3">
        <v>2</v>
      </c>
      <c r="BZ12" s="3" t="s">
        <v>170</v>
      </c>
      <c r="CA12" s="23" t="s">
        <v>147</v>
      </c>
      <c r="CB12" s="33">
        <v>7</v>
      </c>
      <c r="CC12" s="34">
        <v>0.04</v>
      </c>
      <c r="CD12" s="3">
        <v>85</v>
      </c>
      <c r="CE12" s="3">
        <v>88</v>
      </c>
      <c r="CF12" s="3">
        <v>92</v>
      </c>
      <c r="CG12" s="3">
        <v>89</v>
      </c>
      <c r="CH12" s="3" t="s">
        <v>140</v>
      </c>
      <c r="CI12" s="3" t="s">
        <v>136</v>
      </c>
      <c r="CJ12" s="3" t="s">
        <v>136</v>
      </c>
      <c r="CK12" s="3" t="s">
        <v>136</v>
      </c>
      <c r="CM12" s="3" t="s">
        <v>171</v>
      </c>
      <c r="CN12" s="3" t="s">
        <v>136</v>
      </c>
      <c r="CO12" s="3" t="s">
        <v>136</v>
      </c>
      <c r="CP12" s="3" t="s">
        <v>136</v>
      </c>
      <c r="CQ12" s="3">
        <v>1</v>
      </c>
      <c r="CS12" s="1" t="s">
        <v>138</v>
      </c>
      <c r="CT12" s="1" t="s">
        <v>138</v>
      </c>
      <c r="CU12" s="1" t="s">
        <v>138</v>
      </c>
      <c r="CV12" s="1" t="s">
        <v>138</v>
      </c>
      <c r="CW12" s="1" t="s">
        <v>138</v>
      </c>
    </row>
    <row r="13" spans="1:192" ht="15.75" customHeight="1">
      <c r="A13" s="190">
        <v>20006</v>
      </c>
      <c r="B13" s="83" t="s">
        <v>150</v>
      </c>
      <c r="C13" s="54">
        <v>78.7</v>
      </c>
      <c r="D13" s="54">
        <v>9</v>
      </c>
      <c r="E13" s="54">
        <v>8</v>
      </c>
      <c r="F13" s="54">
        <v>17</v>
      </c>
      <c r="G13" s="54">
        <v>8.25</v>
      </c>
      <c r="H13" s="54">
        <v>5.0999999999999996</v>
      </c>
      <c r="I13" s="35">
        <v>9</v>
      </c>
      <c r="J13" s="54" t="s">
        <v>145</v>
      </c>
      <c r="K13" s="84">
        <v>6.6269999999999996E-2</v>
      </c>
      <c r="L13" s="84">
        <v>2.0490000000000001E-2</v>
      </c>
      <c r="M13" s="84">
        <v>4.5999999999999999E-3</v>
      </c>
      <c r="N13" s="84">
        <v>0.05</v>
      </c>
      <c r="O13" s="84">
        <v>2.5000000000000001E-2</v>
      </c>
      <c r="P13" s="84">
        <v>4.5999999999999999E-3</v>
      </c>
      <c r="Q13" s="84">
        <v>0.96399999999999997</v>
      </c>
      <c r="R13" s="84">
        <v>2.4E-2</v>
      </c>
      <c r="S13" s="84">
        <v>0</v>
      </c>
      <c r="T13" s="84">
        <v>0</v>
      </c>
      <c r="U13" s="84">
        <v>1.2E-2</v>
      </c>
      <c r="V13" s="84">
        <v>0</v>
      </c>
      <c r="W13" s="85">
        <v>93</v>
      </c>
      <c r="X13" s="84">
        <v>0.93100000000000005</v>
      </c>
      <c r="Y13" s="85">
        <v>163</v>
      </c>
      <c r="Z13" s="84">
        <v>2.3E-2</v>
      </c>
      <c r="AA13" s="84">
        <v>0</v>
      </c>
      <c r="AB13" s="84">
        <v>0</v>
      </c>
      <c r="AC13" s="84">
        <v>1.0999999999999999E-2</v>
      </c>
      <c r="AD13" s="84">
        <f>AC13+AA13</f>
        <v>1.0999999999999999E-2</v>
      </c>
      <c r="AE13" s="84">
        <v>0</v>
      </c>
      <c r="AF13" s="84" t="s">
        <v>129</v>
      </c>
      <c r="AG13" s="54" t="s">
        <v>130</v>
      </c>
      <c r="AH13" s="54" t="s">
        <v>131</v>
      </c>
      <c r="AI13" s="54">
        <v>18</v>
      </c>
      <c r="AJ13" s="54">
        <v>31</v>
      </c>
      <c r="AK13" s="54">
        <v>6</v>
      </c>
      <c r="AL13" s="54" t="s">
        <v>132</v>
      </c>
      <c r="AM13" s="54">
        <v>134</v>
      </c>
      <c r="AN13" s="54">
        <v>77</v>
      </c>
      <c r="AO13" s="54">
        <v>19</v>
      </c>
      <c r="AP13" s="54">
        <v>32</v>
      </c>
      <c r="AQ13" s="54">
        <v>32</v>
      </c>
      <c r="AR13" s="54">
        <v>80</v>
      </c>
      <c r="AS13" s="54">
        <v>29</v>
      </c>
      <c r="AT13" s="54">
        <v>73</v>
      </c>
      <c r="AU13" s="54">
        <v>64</v>
      </c>
      <c r="AV13" s="54">
        <v>80</v>
      </c>
      <c r="AW13" s="54">
        <v>77</v>
      </c>
      <c r="AX13" s="54">
        <v>96</v>
      </c>
      <c r="AY13" s="86">
        <f t="shared" si="1"/>
        <v>2.5923073048250842</v>
      </c>
      <c r="AZ13" s="31">
        <f t="shared" si="0"/>
        <v>2.5167418752890884</v>
      </c>
      <c r="BA13" s="54">
        <v>29</v>
      </c>
      <c r="BB13" s="54">
        <v>97</v>
      </c>
      <c r="BC13" s="54">
        <v>14</v>
      </c>
      <c r="BD13" s="54">
        <v>93</v>
      </c>
      <c r="BE13" s="54">
        <v>15</v>
      </c>
      <c r="BF13" s="54">
        <v>100</v>
      </c>
      <c r="BG13" s="54">
        <v>9</v>
      </c>
      <c r="BH13" s="54">
        <v>30</v>
      </c>
      <c r="BI13" s="54">
        <v>21</v>
      </c>
      <c r="BJ13" s="54">
        <v>70</v>
      </c>
      <c r="BK13" s="54">
        <v>52</v>
      </c>
      <c r="BL13" s="54">
        <v>81</v>
      </c>
      <c r="BM13" s="54">
        <v>151</v>
      </c>
      <c r="BN13" s="54">
        <v>81</v>
      </c>
      <c r="BO13" s="88">
        <f t="shared" si="2"/>
        <v>74.019607843137265</v>
      </c>
      <c r="BP13" s="54">
        <v>40</v>
      </c>
      <c r="BQ13" s="54">
        <v>77</v>
      </c>
      <c r="BR13" s="89" t="s">
        <v>133</v>
      </c>
      <c r="BS13" s="54">
        <v>2</v>
      </c>
      <c r="BT13" s="54">
        <v>33</v>
      </c>
      <c r="BU13" s="54">
        <v>83</v>
      </c>
      <c r="BV13" s="54">
        <v>1.62</v>
      </c>
      <c r="BW13" s="54">
        <v>38</v>
      </c>
      <c r="BX13" s="54">
        <v>95</v>
      </c>
      <c r="BY13" s="54">
        <v>2</v>
      </c>
      <c r="BZ13" s="54" t="s">
        <v>170</v>
      </c>
      <c r="CA13" s="90" t="s">
        <v>147</v>
      </c>
      <c r="CB13" s="91">
        <v>7</v>
      </c>
      <c r="CC13" s="91">
        <v>0.04</v>
      </c>
      <c r="CD13" s="54">
        <v>85</v>
      </c>
      <c r="CE13" s="54">
        <v>88</v>
      </c>
      <c r="CF13" s="54">
        <v>92</v>
      </c>
      <c r="CG13" s="54">
        <v>89</v>
      </c>
      <c r="CH13" s="54" t="s">
        <v>140</v>
      </c>
      <c r="CI13" s="54" t="s">
        <v>136</v>
      </c>
      <c r="CJ13" s="54" t="s">
        <v>136</v>
      </c>
      <c r="CK13" s="54" t="s">
        <v>136</v>
      </c>
      <c r="CL13" s="54"/>
      <c r="CM13" s="54" t="s">
        <v>171</v>
      </c>
      <c r="CN13" s="54" t="s">
        <v>136</v>
      </c>
      <c r="CO13" s="54" t="s">
        <v>136</v>
      </c>
      <c r="CP13" s="54" t="s">
        <v>136</v>
      </c>
      <c r="CQ13" s="54">
        <v>1</v>
      </c>
      <c r="CR13" s="54"/>
      <c r="CS13" s="92"/>
      <c r="CT13" s="92"/>
      <c r="CU13" s="54"/>
      <c r="CV13" s="54"/>
      <c r="CW13" s="54"/>
      <c r="CX13" s="54"/>
      <c r="CY13" s="54"/>
      <c r="CZ13" s="54"/>
      <c r="DA13" s="54"/>
      <c r="DB13" s="54"/>
      <c r="DC13" s="54"/>
      <c r="DD13" s="54"/>
      <c r="DE13" s="54"/>
      <c r="DF13" s="54"/>
      <c r="DG13" s="54"/>
      <c r="DH13" s="54"/>
      <c r="DI13" s="54"/>
      <c r="DK13" s="54"/>
      <c r="DL13" s="54"/>
      <c r="DM13" s="54"/>
      <c r="DN13" s="54"/>
      <c r="DO13" s="54"/>
      <c r="DP13" s="54"/>
      <c r="DQ13" s="54"/>
      <c r="DR13" s="54"/>
      <c r="DS13" s="54"/>
      <c r="DT13" s="54"/>
      <c r="DU13" s="54"/>
      <c r="DV13" s="54"/>
      <c r="DW13" s="54"/>
      <c r="DX13" s="54"/>
      <c r="DY13" s="54"/>
      <c r="DZ13" s="54"/>
      <c r="EA13" s="54"/>
      <c r="EB13" s="54"/>
      <c r="EC13" s="54"/>
      <c r="ED13" s="54"/>
      <c r="EE13" s="54"/>
      <c r="EF13" s="54"/>
      <c r="EG13" s="54"/>
      <c r="EH13" s="54"/>
      <c r="EI13" s="54"/>
      <c r="EJ13" s="54"/>
      <c r="EK13" s="54"/>
      <c r="EL13" s="54"/>
      <c r="EM13" s="54"/>
      <c r="EN13" s="54"/>
      <c r="EO13" s="54"/>
      <c r="EP13" s="54"/>
      <c r="EQ13" s="54"/>
      <c r="ER13" s="54"/>
      <c r="ES13" s="54"/>
      <c r="ET13" s="54"/>
      <c r="EU13" s="54"/>
      <c r="EV13" s="54"/>
      <c r="EW13" s="54"/>
      <c r="EX13" s="54"/>
      <c r="EY13" s="54"/>
      <c r="EZ13" s="54"/>
      <c r="FA13" s="54"/>
      <c r="FB13" s="54"/>
      <c r="FC13" s="54"/>
      <c r="FD13" s="54"/>
      <c r="FE13" s="54"/>
      <c r="FF13" s="54"/>
      <c r="FG13" s="54"/>
      <c r="FH13" s="54"/>
      <c r="FI13" s="54"/>
      <c r="FJ13" s="54"/>
      <c r="FK13" s="54"/>
      <c r="FL13" s="54"/>
      <c r="FM13" s="54"/>
      <c r="FN13" s="54"/>
      <c r="FO13" s="54"/>
      <c r="FP13" s="54"/>
      <c r="FQ13" s="54"/>
      <c r="FR13" s="54"/>
      <c r="FS13" s="54"/>
      <c r="FT13" s="54"/>
      <c r="FU13" s="54"/>
      <c r="FV13" s="54"/>
      <c r="FW13" s="54"/>
      <c r="FX13" s="54"/>
      <c r="FY13" s="54"/>
      <c r="FZ13" s="54"/>
      <c r="GA13" s="54"/>
      <c r="GB13" s="54"/>
      <c r="GC13" s="54"/>
      <c r="GD13" s="54"/>
      <c r="GE13" s="54"/>
      <c r="GF13" s="54"/>
      <c r="GG13" s="54"/>
      <c r="GH13" s="54"/>
      <c r="GI13" s="54"/>
      <c r="GJ13" s="54"/>
    </row>
    <row r="14" spans="1:192" s="2" customFormat="1" ht="60">
      <c r="A14" s="190">
        <v>20007</v>
      </c>
      <c r="B14" s="23" t="s">
        <v>166</v>
      </c>
      <c r="C14" s="3">
        <v>73.7</v>
      </c>
      <c r="D14" s="3">
        <v>8</v>
      </c>
      <c r="E14" s="3">
        <v>6</v>
      </c>
      <c r="F14" s="3">
        <v>14</v>
      </c>
      <c r="G14" s="3">
        <v>7.15</v>
      </c>
      <c r="H14" s="3">
        <v>8.5</v>
      </c>
      <c r="I14" s="35">
        <v>7.2</v>
      </c>
      <c r="J14" s="3" t="s">
        <v>128</v>
      </c>
      <c r="K14" s="27">
        <v>9.9860000000000004E-2</v>
      </c>
      <c r="L14" s="27">
        <v>6.8500000000000002E-3</v>
      </c>
      <c r="M14" s="27">
        <v>1.1690000000000001E-2</v>
      </c>
      <c r="N14" s="74">
        <v>3.7999999999999999E-2</v>
      </c>
      <c r="O14" s="74">
        <v>0.02</v>
      </c>
      <c r="P14" s="74">
        <v>1.7999999999999999E-2</v>
      </c>
      <c r="Q14" s="27">
        <v>0.86399999999999999</v>
      </c>
      <c r="R14" s="27">
        <v>4.7E-2</v>
      </c>
      <c r="S14" s="27">
        <v>0</v>
      </c>
      <c r="T14" s="27">
        <v>3.5999999999999997E-2</v>
      </c>
      <c r="U14" s="27">
        <v>5.2999999999999999E-2</v>
      </c>
      <c r="V14" s="27">
        <v>0</v>
      </c>
      <c r="W14" s="52">
        <v>83</v>
      </c>
      <c r="X14" s="27">
        <v>0.83399999999999996</v>
      </c>
      <c r="Y14" s="52">
        <v>146</v>
      </c>
      <c r="Z14" s="27">
        <v>4.5999999999999999E-2</v>
      </c>
      <c r="AA14" s="27">
        <v>0</v>
      </c>
      <c r="AB14" s="27">
        <v>3.4000000000000002E-2</v>
      </c>
      <c r="AC14" s="27">
        <v>5.0999999999999997E-2</v>
      </c>
      <c r="AD14" s="27">
        <f>AC14+AA14</f>
        <v>5.0999999999999997E-2</v>
      </c>
      <c r="AE14" s="27">
        <v>0</v>
      </c>
      <c r="AF14" s="3" t="s">
        <v>172</v>
      </c>
      <c r="AG14" s="3" t="s">
        <v>130</v>
      </c>
      <c r="AH14" s="3" t="s">
        <v>131</v>
      </c>
      <c r="AI14" s="3">
        <v>14</v>
      </c>
      <c r="AJ14" s="3">
        <v>47</v>
      </c>
      <c r="AK14" s="3">
        <v>23</v>
      </c>
      <c r="AL14" s="3" t="s">
        <v>132</v>
      </c>
      <c r="AM14" s="3">
        <v>167</v>
      </c>
      <c r="AN14" s="3">
        <v>95</v>
      </c>
      <c r="AO14" s="3">
        <v>25</v>
      </c>
      <c r="AP14" s="3">
        <v>42</v>
      </c>
      <c r="AQ14" s="3">
        <v>36</v>
      </c>
      <c r="AR14" s="3">
        <v>90</v>
      </c>
      <c r="AS14" s="3">
        <v>36</v>
      </c>
      <c r="AT14" s="3">
        <v>90</v>
      </c>
      <c r="AU14" s="3">
        <v>65</v>
      </c>
      <c r="AV14" s="3">
        <v>81</v>
      </c>
      <c r="AW14" s="3">
        <v>73</v>
      </c>
      <c r="AX14" s="3">
        <v>91</v>
      </c>
      <c r="AY14" s="30">
        <f t="shared" si="1"/>
        <v>2.2186513287414447</v>
      </c>
      <c r="AZ14" s="31">
        <f t="shared" si="0"/>
        <v>2.1740930610527269</v>
      </c>
      <c r="BA14" s="3">
        <v>17</v>
      </c>
      <c r="BB14" s="3">
        <v>57</v>
      </c>
      <c r="BC14" s="3">
        <v>9</v>
      </c>
      <c r="BD14" s="3">
        <v>60</v>
      </c>
      <c r="BE14" s="3">
        <v>8</v>
      </c>
      <c r="BF14" s="3">
        <v>53</v>
      </c>
      <c r="BG14" s="3">
        <v>22</v>
      </c>
      <c r="BH14" s="3">
        <v>73</v>
      </c>
      <c r="BI14" s="3">
        <v>30</v>
      </c>
      <c r="BJ14" s="3">
        <v>100</v>
      </c>
      <c r="BK14" s="3">
        <v>49</v>
      </c>
      <c r="BL14" s="3">
        <v>77</v>
      </c>
      <c r="BM14" s="3">
        <v>143</v>
      </c>
      <c r="BN14" s="3">
        <v>76</v>
      </c>
      <c r="BO14" s="21">
        <f t="shared" si="2"/>
        <v>70.098039215686271</v>
      </c>
      <c r="BP14" s="3">
        <v>42</v>
      </c>
      <c r="BQ14" s="3">
        <v>81</v>
      </c>
      <c r="BR14" s="3" t="s">
        <v>133</v>
      </c>
      <c r="BS14" s="3">
        <v>3.2</v>
      </c>
      <c r="BT14" s="3">
        <v>34</v>
      </c>
      <c r="BU14" s="3">
        <v>85</v>
      </c>
      <c r="BV14" s="3">
        <v>3.25</v>
      </c>
      <c r="BW14" s="3">
        <v>26</v>
      </c>
      <c r="BX14" s="3">
        <v>65</v>
      </c>
      <c r="BY14" s="3">
        <v>2.2599999999999998</v>
      </c>
      <c r="BZ14" s="3" t="s">
        <v>147</v>
      </c>
      <c r="CA14" s="3" t="s">
        <v>147</v>
      </c>
      <c r="CB14" s="33">
        <v>2</v>
      </c>
      <c r="CC14" s="34">
        <v>1.1428571428571429E-2</v>
      </c>
      <c r="CD14" s="3">
        <v>95</v>
      </c>
      <c r="CE14" s="3">
        <v>95</v>
      </c>
      <c r="CF14" s="3">
        <v>98</v>
      </c>
      <c r="CG14" s="3">
        <v>60</v>
      </c>
      <c r="CH14" s="3" t="s">
        <v>140</v>
      </c>
      <c r="CI14" s="3" t="s">
        <v>136</v>
      </c>
      <c r="CJ14" s="3" t="s">
        <v>136</v>
      </c>
      <c r="CK14" s="49" t="s">
        <v>163</v>
      </c>
      <c r="CL14" s="3" t="s">
        <v>151</v>
      </c>
      <c r="CM14" s="3" t="s">
        <v>173</v>
      </c>
      <c r="CN14" s="3" t="s">
        <v>136</v>
      </c>
      <c r="CO14" s="3" t="s">
        <v>136</v>
      </c>
      <c r="CP14" s="3" t="s">
        <v>136</v>
      </c>
      <c r="CQ14" s="3">
        <v>1</v>
      </c>
      <c r="CR14" s="3"/>
      <c r="CS14" s="1" t="s">
        <v>138</v>
      </c>
      <c r="CT14" s="1" t="s">
        <v>138</v>
      </c>
      <c r="CU14" s="1" t="s">
        <v>138</v>
      </c>
      <c r="CV14" s="1" t="s">
        <v>138</v>
      </c>
      <c r="CW14" s="1" t="s">
        <v>138</v>
      </c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5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</row>
    <row r="15" spans="1:192" ht="30">
      <c r="A15" s="190">
        <v>20007</v>
      </c>
      <c r="B15" s="55" t="s">
        <v>150</v>
      </c>
      <c r="C15" s="2">
        <v>83.2</v>
      </c>
      <c r="D15" s="2">
        <v>8</v>
      </c>
      <c r="E15" s="2">
        <v>8</v>
      </c>
      <c r="F15" s="2">
        <v>16</v>
      </c>
      <c r="G15" s="2">
        <v>8</v>
      </c>
      <c r="H15" s="2">
        <v>8.8000000000000007</v>
      </c>
      <c r="I15" s="35">
        <v>8.8000000000000007</v>
      </c>
      <c r="J15" s="2" t="s">
        <v>128</v>
      </c>
      <c r="K15" s="40">
        <v>6.0819999999999999E-2</v>
      </c>
      <c r="L15" s="40">
        <v>1.208E-2</v>
      </c>
      <c r="M15" s="40">
        <v>3.7100000000000002E-3</v>
      </c>
      <c r="N15" s="93">
        <v>4.2000000000000003E-2</v>
      </c>
      <c r="O15" s="93">
        <v>1.7000000000000001E-2</v>
      </c>
      <c r="P15" s="93">
        <v>8.0000000000000002E-3</v>
      </c>
      <c r="Q15" s="40">
        <v>0.876</v>
      </c>
      <c r="R15" s="40">
        <v>1.7999999999999999E-2</v>
      </c>
      <c r="S15" s="40">
        <v>6.0000000000000001E-3</v>
      </c>
      <c r="T15" s="40">
        <v>6.0000000000000001E-3</v>
      </c>
      <c r="U15" s="40">
        <v>9.4E-2</v>
      </c>
      <c r="V15" s="40">
        <v>0</v>
      </c>
      <c r="W15" s="56">
        <v>85.1</v>
      </c>
      <c r="X15" s="40">
        <v>0.85099999999999998</v>
      </c>
      <c r="Y15" s="57">
        <v>149</v>
      </c>
      <c r="Z15" s="40">
        <v>1.7000000000000001E-2</v>
      </c>
      <c r="AA15" s="40">
        <v>6.0000000000000001E-3</v>
      </c>
      <c r="AB15" s="40">
        <v>6.0000000000000001E-3</v>
      </c>
      <c r="AC15" s="40">
        <v>9.0999999999999998E-2</v>
      </c>
      <c r="AD15" s="40">
        <v>9.7000000000000003E-2</v>
      </c>
      <c r="AE15" s="40">
        <v>0</v>
      </c>
      <c r="AF15" s="36" t="s">
        <v>167</v>
      </c>
      <c r="AG15" s="36" t="s">
        <v>130</v>
      </c>
      <c r="AH15" s="36" t="s">
        <v>131</v>
      </c>
      <c r="AI15" s="36">
        <v>14</v>
      </c>
      <c r="AJ15" s="36">
        <v>51</v>
      </c>
      <c r="AK15" s="36">
        <v>64</v>
      </c>
      <c r="AL15" s="2" t="s">
        <v>132</v>
      </c>
      <c r="AM15" s="2">
        <v>167</v>
      </c>
      <c r="AN15" s="2">
        <v>95</v>
      </c>
      <c r="AO15" s="2">
        <v>46</v>
      </c>
      <c r="AP15" s="2">
        <v>77</v>
      </c>
      <c r="AQ15" s="2">
        <v>33</v>
      </c>
      <c r="AR15" s="2">
        <v>83</v>
      </c>
      <c r="AS15" s="2">
        <v>34</v>
      </c>
      <c r="AT15" s="2">
        <v>85</v>
      </c>
      <c r="AU15" s="2">
        <v>68</v>
      </c>
      <c r="AV15" s="2">
        <v>85</v>
      </c>
      <c r="AW15" s="2">
        <v>72</v>
      </c>
      <c r="AX15" s="2">
        <v>90</v>
      </c>
      <c r="AY15" s="46">
        <f t="shared" si="1"/>
        <v>2.3179849550383906</v>
      </c>
      <c r="AZ15" s="31">
        <f t="shared" si="0"/>
        <v>2.2719806991872984</v>
      </c>
      <c r="BA15" s="2">
        <v>21</v>
      </c>
      <c r="BB15" s="2">
        <v>70</v>
      </c>
      <c r="BC15" s="2">
        <v>12</v>
      </c>
      <c r="BD15" s="2">
        <v>80</v>
      </c>
      <c r="BE15" s="2">
        <v>9</v>
      </c>
      <c r="BF15" s="2">
        <v>60</v>
      </c>
      <c r="BG15" s="2">
        <v>23</v>
      </c>
      <c r="BH15" s="2">
        <v>77</v>
      </c>
      <c r="BI15" s="2">
        <v>30</v>
      </c>
      <c r="BJ15" s="2">
        <v>100</v>
      </c>
      <c r="BK15" s="2">
        <v>49</v>
      </c>
      <c r="BL15" s="2">
        <v>77</v>
      </c>
      <c r="BM15" s="2">
        <v>129</v>
      </c>
      <c r="BN15" s="2">
        <v>66</v>
      </c>
      <c r="BO15" s="47">
        <f t="shared" si="2"/>
        <v>63.235294117647058</v>
      </c>
      <c r="BP15" s="2">
        <v>48</v>
      </c>
      <c r="BQ15" s="2">
        <v>92</v>
      </c>
      <c r="BR15" s="2" t="s">
        <v>139</v>
      </c>
      <c r="BS15" s="2">
        <v>3.6</v>
      </c>
      <c r="BT15" s="2">
        <v>34</v>
      </c>
      <c r="BU15" s="2">
        <v>85</v>
      </c>
      <c r="BV15" s="2">
        <v>3.67</v>
      </c>
      <c r="BW15" s="2">
        <v>37</v>
      </c>
      <c r="BX15" s="2">
        <v>93</v>
      </c>
      <c r="BY15" s="2">
        <v>4</v>
      </c>
      <c r="BZ15" s="2" t="s">
        <v>134</v>
      </c>
      <c r="CA15" s="2" t="s">
        <v>134</v>
      </c>
      <c r="CB15" s="94">
        <v>1</v>
      </c>
      <c r="CC15" s="94">
        <v>6.0000000000000001E-3</v>
      </c>
      <c r="CD15" s="2">
        <v>98</v>
      </c>
      <c r="CE15" s="2">
        <v>98</v>
      </c>
      <c r="CF15" s="2">
        <v>100</v>
      </c>
      <c r="CG15" s="2">
        <v>73</v>
      </c>
      <c r="CH15" s="2" t="s">
        <v>140</v>
      </c>
      <c r="CI15" s="2" t="s">
        <v>162</v>
      </c>
      <c r="CJ15" s="2" t="s">
        <v>174</v>
      </c>
      <c r="CK15" s="82" t="s">
        <v>163</v>
      </c>
      <c r="CL15" s="2" t="s">
        <v>151</v>
      </c>
      <c r="CM15" s="2" t="s">
        <v>175</v>
      </c>
      <c r="CN15" s="2" t="s">
        <v>162</v>
      </c>
      <c r="CO15" s="2" t="s">
        <v>136</v>
      </c>
      <c r="CP15" s="2" t="s">
        <v>136</v>
      </c>
      <c r="CQ15" s="2">
        <v>1</v>
      </c>
      <c r="CR15" s="2"/>
      <c r="CS15" s="59" t="s">
        <v>140</v>
      </c>
      <c r="CT15" s="59" t="s">
        <v>140</v>
      </c>
      <c r="CU15" s="2">
        <v>100</v>
      </c>
      <c r="CV15" s="2">
        <v>100</v>
      </c>
      <c r="CW15" s="2">
        <v>96</v>
      </c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</row>
    <row r="16" spans="1:192">
      <c r="A16" s="190">
        <v>20008</v>
      </c>
      <c r="B16" s="72" t="s">
        <v>150</v>
      </c>
      <c r="C16" s="3">
        <v>84.7</v>
      </c>
      <c r="D16" s="3">
        <v>8</v>
      </c>
      <c r="E16" s="3">
        <v>8</v>
      </c>
      <c r="F16" s="3">
        <v>16</v>
      </c>
      <c r="G16" s="3">
        <v>9.75</v>
      </c>
      <c r="H16" s="3">
        <v>8.5</v>
      </c>
      <c r="I16" s="35">
        <v>8.1</v>
      </c>
      <c r="J16" s="3" t="s">
        <v>176</v>
      </c>
      <c r="K16" s="27">
        <v>2.3269999999999999E-2</v>
      </c>
      <c r="L16" s="27">
        <v>2.8580000000000001E-2</v>
      </c>
      <c r="M16" s="27">
        <v>1.7340000000000001E-2</v>
      </c>
      <c r="N16" s="27">
        <v>2.3269999999999999E-2</v>
      </c>
      <c r="O16" s="27">
        <v>2.8580000000000001E-2</v>
      </c>
      <c r="P16" s="27">
        <v>1.7340000000000001E-2</v>
      </c>
      <c r="Q16" s="27">
        <v>0.86299999999999999</v>
      </c>
      <c r="R16" s="27">
        <v>3.5999999999999997E-2</v>
      </c>
      <c r="S16" s="27">
        <v>3.5999999999999997E-2</v>
      </c>
      <c r="T16" s="27">
        <v>1.2E-2</v>
      </c>
      <c r="U16" s="27">
        <v>3.5999999999999997E-2</v>
      </c>
      <c r="V16" s="27">
        <v>1.7999999999999999E-2</v>
      </c>
      <c r="W16" s="52">
        <v>83</v>
      </c>
      <c r="X16" s="27">
        <v>0.82899999999999996</v>
      </c>
      <c r="Y16" s="52">
        <v>145</v>
      </c>
      <c r="Z16" s="27">
        <v>3.4000000000000002E-2</v>
      </c>
      <c r="AA16" s="27">
        <v>3.4000000000000002E-2</v>
      </c>
      <c r="AB16" s="27">
        <v>1.0999999999999999E-2</v>
      </c>
      <c r="AC16" s="27">
        <v>3.4000000000000002E-2</v>
      </c>
      <c r="AD16" s="27">
        <f>AC16+AA16</f>
        <v>6.8000000000000005E-2</v>
      </c>
      <c r="AE16" s="27">
        <v>1.7000000000000001E-2</v>
      </c>
      <c r="AF16" s="3" t="s">
        <v>172</v>
      </c>
      <c r="AG16" s="3" t="s">
        <v>156</v>
      </c>
      <c r="AH16" s="3" t="s">
        <v>177</v>
      </c>
      <c r="AI16" s="3">
        <v>19</v>
      </c>
      <c r="AJ16" s="3">
        <v>62</v>
      </c>
      <c r="AK16" s="3">
        <v>6</v>
      </c>
      <c r="AL16" s="3" t="s">
        <v>158</v>
      </c>
      <c r="AM16" s="3">
        <v>171</v>
      </c>
      <c r="AN16" s="3">
        <v>98</v>
      </c>
      <c r="AO16" s="3">
        <v>47</v>
      </c>
      <c r="AP16" s="3">
        <v>78</v>
      </c>
      <c r="AQ16" s="3">
        <v>39</v>
      </c>
      <c r="AR16" s="3">
        <v>98</v>
      </c>
      <c r="AS16" s="3">
        <v>34</v>
      </c>
      <c r="AT16" s="3">
        <v>85</v>
      </c>
      <c r="AU16" s="3">
        <v>69</v>
      </c>
      <c r="AV16" s="3">
        <v>86</v>
      </c>
      <c r="AW16" s="3">
        <v>77</v>
      </c>
      <c r="AX16" s="3">
        <v>96</v>
      </c>
      <c r="AY16" s="3">
        <f t="shared" si="1"/>
        <v>2.831005412067126</v>
      </c>
      <c r="AZ16" s="31">
        <f t="shared" si="0"/>
        <v>2.7488394702393792</v>
      </c>
      <c r="BA16" s="3">
        <v>26</v>
      </c>
      <c r="BB16" s="3">
        <v>87</v>
      </c>
      <c r="BC16" s="3">
        <v>12</v>
      </c>
      <c r="BD16" s="3">
        <v>80</v>
      </c>
      <c r="BE16" s="3">
        <v>14</v>
      </c>
      <c r="BF16" s="3">
        <v>93</v>
      </c>
      <c r="BG16" s="3">
        <v>21</v>
      </c>
      <c r="BH16" s="3">
        <v>70</v>
      </c>
      <c r="BI16" s="3">
        <v>30</v>
      </c>
      <c r="BJ16" s="3">
        <v>100</v>
      </c>
      <c r="BK16" s="3">
        <v>50</v>
      </c>
      <c r="BL16" s="3">
        <v>78</v>
      </c>
      <c r="BM16" s="3">
        <v>194</v>
      </c>
      <c r="BN16" s="3">
        <v>110</v>
      </c>
      <c r="BO16" s="21">
        <v>95</v>
      </c>
      <c r="BP16" s="3">
        <v>48</v>
      </c>
      <c r="BQ16" s="3">
        <v>92</v>
      </c>
      <c r="BR16" s="3" t="s">
        <v>133</v>
      </c>
      <c r="BS16" s="3">
        <v>3.6</v>
      </c>
      <c r="BT16" s="3">
        <v>33</v>
      </c>
      <c r="BU16" s="3">
        <v>83</v>
      </c>
      <c r="BV16" s="3">
        <v>2.5499999999999998</v>
      </c>
      <c r="BW16" s="3">
        <v>39</v>
      </c>
      <c r="BX16" s="3">
        <v>98</v>
      </c>
      <c r="BY16" s="3">
        <v>2</v>
      </c>
      <c r="BZ16" s="3" t="s">
        <v>147</v>
      </c>
      <c r="CA16" s="3" t="s">
        <v>147</v>
      </c>
      <c r="CB16" s="33">
        <v>0</v>
      </c>
      <c r="CC16" s="34">
        <v>0</v>
      </c>
      <c r="CD16" s="3">
        <v>95</v>
      </c>
      <c r="CE16" s="3">
        <v>95</v>
      </c>
      <c r="CF16" s="3">
        <v>97</v>
      </c>
      <c r="CG16" s="3">
        <v>100</v>
      </c>
      <c r="CH16" s="3" t="s">
        <v>160</v>
      </c>
      <c r="CI16" s="3" t="s">
        <v>161</v>
      </c>
      <c r="CJ16" s="3" t="s">
        <v>161</v>
      </c>
      <c r="CK16" s="3" t="s">
        <v>161</v>
      </c>
      <c r="CM16" s="3" t="s">
        <v>178</v>
      </c>
      <c r="CN16" s="3" t="s">
        <v>161</v>
      </c>
      <c r="CO16" s="3" t="s">
        <v>161</v>
      </c>
      <c r="CP16" s="3" t="s">
        <v>136</v>
      </c>
      <c r="CQ16" s="3">
        <v>1</v>
      </c>
      <c r="CS16" s="3" t="s">
        <v>160</v>
      </c>
      <c r="CT16" t="s">
        <v>160</v>
      </c>
      <c r="CU16" s="3">
        <v>100</v>
      </c>
      <c r="CV16" s="3">
        <v>100</v>
      </c>
      <c r="CW16" s="3">
        <v>100</v>
      </c>
    </row>
    <row r="17" spans="1:192">
      <c r="A17" s="190">
        <v>20008</v>
      </c>
      <c r="B17" s="95"/>
      <c r="C17" s="8">
        <v>94.6</v>
      </c>
      <c r="D17" s="8">
        <v>10</v>
      </c>
      <c r="E17" s="8">
        <v>9</v>
      </c>
      <c r="F17" s="8">
        <v>19</v>
      </c>
      <c r="G17" s="8">
        <v>10</v>
      </c>
      <c r="H17" s="8">
        <v>9.1999999999999993</v>
      </c>
      <c r="I17" s="79">
        <v>9.1</v>
      </c>
      <c r="J17" s="8" t="s">
        <v>179</v>
      </c>
      <c r="K17" s="77">
        <v>6.2359999999999999E-2</v>
      </c>
      <c r="L17" s="77">
        <v>1.4659999999999999E-2</v>
      </c>
      <c r="M17" s="77">
        <v>7.4599999999999996E-3</v>
      </c>
      <c r="N17" s="77">
        <v>6.2359999999999999E-2</v>
      </c>
      <c r="O17" s="77">
        <v>1.4659999999999999E-2</v>
      </c>
      <c r="P17" s="77">
        <v>7.4599999999999996E-3</v>
      </c>
      <c r="Q17" s="77">
        <v>0.93600000000000005</v>
      </c>
      <c r="R17" s="77">
        <v>1.7000000000000001E-2</v>
      </c>
      <c r="S17" s="77">
        <v>0</v>
      </c>
      <c r="T17" s="77">
        <v>0</v>
      </c>
      <c r="U17" s="77">
        <v>4.5999999999999999E-2</v>
      </c>
      <c r="V17" s="77">
        <v>0</v>
      </c>
      <c r="W17" s="8">
        <v>93</v>
      </c>
      <c r="X17" s="77">
        <v>0.92600000000000005</v>
      </c>
      <c r="Y17" s="8">
        <v>162</v>
      </c>
      <c r="Z17" s="77">
        <v>1.7000000000000001E-2</v>
      </c>
      <c r="AA17" s="77">
        <v>0</v>
      </c>
      <c r="AB17" s="77">
        <v>0</v>
      </c>
      <c r="AC17" s="77">
        <v>4.5999999999999999E-2</v>
      </c>
      <c r="AD17" s="77">
        <v>4.5999999999999999E-2</v>
      </c>
      <c r="AE17" s="77">
        <v>0</v>
      </c>
      <c r="AF17" s="10" t="s">
        <v>172</v>
      </c>
      <c r="AG17" s="10" t="s">
        <v>156</v>
      </c>
      <c r="AH17" s="10" t="s">
        <v>177</v>
      </c>
      <c r="AI17" s="10">
        <v>19</v>
      </c>
      <c r="AJ17" s="10">
        <v>65</v>
      </c>
      <c r="AK17" s="10">
        <v>47</v>
      </c>
      <c r="AL17" s="10" t="s">
        <v>158</v>
      </c>
      <c r="AM17" s="78" t="s">
        <v>180</v>
      </c>
      <c r="AN17" s="78" t="s">
        <v>180</v>
      </c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31">
        <f t="shared" si="0"/>
        <v>-5.0042129466861276</v>
      </c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>
        <v>3.6</v>
      </c>
      <c r="BT17" s="8"/>
      <c r="BU17" s="8"/>
      <c r="BV17" s="8"/>
      <c r="BW17" s="8"/>
      <c r="BX17" s="8"/>
      <c r="BY17" s="8"/>
      <c r="BZ17" s="8"/>
      <c r="CA17" s="8"/>
      <c r="CB17" s="78" t="s">
        <v>180</v>
      </c>
      <c r="CC17" s="78" t="s">
        <v>180</v>
      </c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79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</row>
    <row r="18" spans="1:192" ht="30">
      <c r="A18" s="190">
        <v>20009</v>
      </c>
      <c r="B18" s="51" t="s">
        <v>127</v>
      </c>
      <c r="C18" s="3">
        <v>76.7</v>
      </c>
      <c r="D18" s="3">
        <v>8</v>
      </c>
      <c r="E18" s="3">
        <v>6</v>
      </c>
      <c r="F18" s="3">
        <v>14</v>
      </c>
      <c r="G18" s="3">
        <v>8.75</v>
      </c>
      <c r="H18" s="3">
        <v>7.5</v>
      </c>
      <c r="I18" s="35">
        <v>8.1</v>
      </c>
      <c r="J18" s="3" t="s">
        <v>154</v>
      </c>
      <c r="K18" s="27">
        <v>2.5839999999999998E-2</v>
      </c>
      <c r="L18" s="27">
        <v>2.0320000000000001E-2</v>
      </c>
      <c r="M18" s="27">
        <v>1.7510000000000001E-2</v>
      </c>
      <c r="N18" s="27">
        <v>2.5839999999999998E-2</v>
      </c>
      <c r="O18" s="27">
        <v>2.0320000000000001E-2</v>
      </c>
      <c r="P18" s="27">
        <v>1.7510000000000001E-2</v>
      </c>
      <c r="Q18" s="27">
        <v>0.752</v>
      </c>
      <c r="R18" s="27">
        <v>7.3999999999999996E-2</v>
      </c>
      <c r="S18" s="27">
        <v>1.2999999999999999E-2</v>
      </c>
      <c r="T18" s="27">
        <v>3.4000000000000002E-2</v>
      </c>
      <c r="U18" s="27">
        <v>0.128</v>
      </c>
      <c r="V18" s="27">
        <v>0</v>
      </c>
      <c r="W18" s="52">
        <v>64</v>
      </c>
      <c r="X18" s="27">
        <v>0.64</v>
      </c>
      <c r="Y18" s="52">
        <v>112</v>
      </c>
      <c r="Z18" s="27">
        <v>6.3E-2</v>
      </c>
      <c r="AA18" s="27">
        <v>1.0999999999999999E-2</v>
      </c>
      <c r="AB18" s="27">
        <v>2.9000000000000001E-2</v>
      </c>
      <c r="AC18" s="27">
        <v>0.109</v>
      </c>
      <c r="AD18" s="27">
        <f>AC18+AA18</f>
        <v>0.12</v>
      </c>
      <c r="AE18" s="27">
        <v>0</v>
      </c>
      <c r="AF18" s="3" t="s">
        <v>172</v>
      </c>
      <c r="AG18" s="3" t="s">
        <v>156</v>
      </c>
      <c r="AH18" s="3" t="s">
        <v>177</v>
      </c>
      <c r="AI18" s="3">
        <v>16</v>
      </c>
      <c r="AJ18" s="3">
        <v>55</v>
      </c>
      <c r="AK18" s="3">
        <v>10</v>
      </c>
      <c r="AL18" s="3" t="s">
        <v>158</v>
      </c>
      <c r="AM18" s="3">
        <v>153</v>
      </c>
      <c r="AN18" s="3">
        <v>87</v>
      </c>
      <c r="AO18" s="3">
        <v>19</v>
      </c>
      <c r="AP18" s="3">
        <v>32</v>
      </c>
      <c r="AQ18" s="3">
        <v>34</v>
      </c>
      <c r="AR18" s="3">
        <v>85</v>
      </c>
      <c r="AS18" s="3">
        <v>33</v>
      </c>
      <c r="AT18" s="3">
        <v>83</v>
      </c>
      <c r="AU18" s="3">
        <v>72</v>
      </c>
      <c r="AV18" s="3">
        <v>90</v>
      </c>
      <c r="AW18" s="3">
        <v>60</v>
      </c>
      <c r="AX18" s="3">
        <v>75</v>
      </c>
      <c r="AY18" s="3">
        <f>NORMINV(AV18/100,0,1)-NORMINV(1-(AX18/100),0,1)</f>
        <v>1.9560413157406824</v>
      </c>
      <c r="AZ18" s="31">
        <f t="shared" si="0"/>
        <v>1.9187137121008</v>
      </c>
      <c r="BA18" s="3">
        <v>26</v>
      </c>
      <c r="BB18" s="3">
        <v>87</v>
      </c>
      <c r="BC18" s="3">
        <v>14</v>
      </c>
      <c r="BD18" s="3">
        <v>93</v>
      </c>
      <c r="BE18" s="3">
        <v>12</v>
      </c>
      <c r="BF18" s="3">
        <v>80</v>
      </c>
      <c r="BG18" s="3">
        <v>17</v>
      </c>
      <c r="BH18" s="3">
        <v>57</v>
      </c>
      <c r="BI18" s="3">
        <v>27</v>
      </c>
      <c r="BJ18" s="3">
        <v>90</v>
      </c>
      <c r="BK18" s="3">
        <v>53</v>
      </c>
      <c r="BL18" s="3">
        <v>83</v>
      </c>
      <c r="BM18" s="3">
        <v>171</v>
      </c>
      <c r="BN18" s="3">
        <v>85</v>
      </c>
      <c r="BO18" s="21">
        <v>84</v>
      </c>
      <c r="BP18" s="3">
        <v>50</v>
      </c>
      <c r="BQ18" s="3">
        <v>96</v>
      </c>
      <c r="BR18" s="3" t="s">
        <v>133</v>
      </c>
      <c r="BS18" s="3">
        <v>2.8</v>
      </c>
      <c r="BT18" s="3">
        <v>37</v>
      </c>
      <c r="BU18" s="3">
        <v>93</v>
      </c>
      <c r="BV18" s="3">
        <v>3.38</v>
      </c>
      <c r="BW18" s="3">
        <v>38</v>
      </c>
      <c r="BX18" s="3">
        <v>95</v>
      </c>
      <c r="BY18" s="3">
        <v>2.23</v>
      </c>
      <c r="BZ18" s="3" t="s">
        <v>147</v>
      </c>
      <c r="CA18" s="3" t="s">
        <v>147</v>
      </c>
      <c r="CB18" s="33">
        <v>11</v>
      </c>
      <c r="CC18" s="34">
        <v>6.2857142857142861E-2</v>
      </c>
      <c r="CD18" s="3">
        <v>92</v>
      </c>
      <c r="CE18" s="3">
        <v>94</v>
      </c>
      <c r="CF18" s="3">
        <v>98</v>
      </c>
      <c r="CG18" s="3">
        <v>100</v>
      </c>
      <c r="CH18" s="3" t="s">
        <v>181</v>
      </c>
      <c r="CI18" s="3" t="s">
        <v>161</v>
      </c>
      <c r="CJ18" s="3" t="s">
        <v>161</v>
      </c>
      <c r="CK18" s="49" t="s">
        <v>163</v>
      </c>
      <c r="CM18" s="3" t="s">
        <v>178</v>
      </c>
      <c r="CN18" s="3" t="s">
        <v>161</v>
      </c>
      <c r="CO18" s="3" t="s">
        <v>161</v>
      </c>
      <c r="CP18" s="49" t="s">
        <v>163</v>
      </c>
      <c r="CQ18" s="49"/>
      <c r="CS18" s="3" t="s">
        <v>160</v>
      </c>
      <c r="CT18" t="s">
        <v>160</v>
      </c>
      <c r="CU18" s="3">
        <v>100</v>
      </c>
      <c r="CV18" s="3">
        <v>100</v>
      </c>
      <c r="CW18" s="3">
        <v>100</v>
      </c>
    </row>
    <row r="19" spans="1:192">
      <c r="A19" s="190">
        <v>20009</v>
      </c>
      <c r="B19" s="96"/>
      <c r="C19" s="10">
        <v>75.599999999999994</v>
      </c>
      <c r="D19" s="10">
        <v>8</v>
      </c>
      <c r="E19" s="10">
        <v>6</v>
      </c>
      <c r="F19" s="10">
        <v>14</v>
      </c>
      <c r="G19" s="10">
        <v>6.6</v>
      </c>
      <c r="H19" s="10" t="s">
        <v>182</v>
      </c>
      <c r="I19" s="35">
        <v>8.6999999999999993</v>
      </c>
      <c r="J19" s="10" t="s">
        <v>183</v>
      </c>
      <c r="K19" s="62">
        <v>2.9069999999999999E-2</v>
      </c>
      <c r="L19" s="62">
        <v>1.9779999999999999E-2</v>
      </c>
      <c r="M19" s="62">
        <v>1.5610000000000001E-2</v>
      </c>
      <c r="N19" s="62">
        <v>2.9069999999999999E-2</v>
      </c>
      <c r="O19" s="62">
        <v>1.9779999999999999E-2</v>
      </c>
      <c r="P19" s="62">
        <v>1.5610000000000001E-2</v>
      </c>
      <c r="Q19" s="62">
        <v>0.81100000000000005</v>
      </c>
      <c r="R19" s="62">
        <v>2.4E-2</v>
      </c>
      <c r="S19" s="62">
        <v>1.2E-2</v>
      </c>
      <c r="T19" s="62">
        <v>3.6999999999999998E-2</v>
      </c>
      <c r="U19" s="62">
        <v>0.11</v>
      </c>
      <c r="V19" s="62">
        <v>6.0000000000000001E-3</v>
      </c>
      <c r="W19" s="63">
        <v>76</v>
      </c>
      <c r="X19" s="62">
        <v>0.76</v>
      </c>
      <c r="Y19" s="63">
        <v>133</v>
      </c>
      <c r="Z19" s="62">
        <v>2.3E-2</v>
      </c>
      <c r="AA19" s="62">
        <v>1.0999999999999999E-2</v>
      </c>
      <c r="AB19" s="62">
        <v>3.4000000000000002E-2</v>
      </c>
      <c r="AC19" s="62">
        <v>0.10299999999999999</v>
      </c>
      <c r="AD19" s="62">
        <f>AC19+AA19</f>
        <v>0.11399999999999999</v>
      </c>
      <c r="AE19" s="62">
        <v>6.0000000000000001E-3</v>
      </c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67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68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70"/>
      <c r="CC19" s="71"/>
      <c r="CD19" s="10"/>
      <c r="CE19" s="10"/>
      <c r="CF19" s="10"/>
      <c r="CG19" s="10"/>
      <c r="CH19" s="10"/>
      <c r="CI19" s="10"/>
      <c r="CJ19" s="10"/>
      <c r="CK19" s="97"/>
      <c r="CL19" s="10"/>
      <c r="CM19" s="10"/>
      <c r="CN19" s="10"/>
      <c r="CO19" s="10"/>
      <c r="CP19" s="97"/>
      <c r="CQ19" s="97"/>
      <c r="CR19" s="10"/>
      <c r="CS19" s="10"/>
      <c r="CT19" s="98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</row>
    <row r="20" spans="1:192" s="2" customFormat="1" ht="15" customHeight="1">
      <c r="A20" s="190">
        <v>20010</v>
      </c>
      <c r="B20" s="72" t="s">
        <v>150</v>
      </c>
      <c r="C20" s="3">
        <v>55.4</v>
      </c>
      <c r="D20" s="3">
        <v>6</v>
      </c>
      <c r="E20" s="3">
        <v>2</v>
      </c>
      <c r="F20" s="3">
        <v>8</v>
      </c>
      <c r="G20" s="3">
        <v>8.1999999999999993</v>
      </c>
      <c r="H20" s="3">
        <v>5.0999999999999996</v>
      </c>
      <c r="I20" s="35">
        <v>6.4</v>
      </c>
      <c r="J20" s="3" t="s">
        <v>184</v>
      </c>
      <c r="K20" s="27">
        <v>2.4850000000000001E-2</v>
      </c>
      <c r="L20" s="27">
        <v>1.66E-2</v>
      </c>
      <c r="M20" s="27">
        <v>1.472E-2</v>
      </c>
      <c r="N20" s="27">
        <v>2.4850000000000001E-2</v>
      </c>
      <c r="O20" s="27">
        <v>1.66E-2</v>
      </c>
      <c r="P20" s="27">
        <v>1.472E-2</v>
      </c>
      <c r="Q20" s="27">
        <v>0.64400000000000002</v>
      </c>
      <c r="R20" s="27">
        <v>7.3999999999999996E-2</v>
      </c>
      <c r="S20" s="27">
        <v>3.6999999999999998E-2</v>
      </c>
      <c r="T20" s="27">
        <v>1.2E-2</v>
      </c>
      <c r="U20" s="27">
        <v>0.221</v>
      </c>
      <c r="V20" s="27">
        <v>1.2E-2</v>
      </c>
      <c r="W20" s="52">
        <v>60</v>
      </c>
      <c r="X20" s="27">
        <v>0.6</v>
      </c>
      <c r="Y20" s="52">
        <v>105</v>
      </c>
      <c r="Z20" s="27">
        <v>6.9000000000000006E-2</v>
      </c>
      <c r="AA20" s="27">
        <v>3.4000000000000002E-2</v>
      </c>
      <c r="AB20" s="27">
        <v>1.0999999999999999E-2</v>
      </c>
      <c r="AC20" s="27">
        <v>0.20599999999999999</v>
      </c>
      <c r="AD20" s="27">
        <f>AC20+AA20</f>
        <v>0.24</v>
      </c>
      <c r="AE20" s="27">
        <v>1.0999999999999999E-2</v>
      </c>
      <c r="AF20" s="3" t="s">
        <v>172</v>
      </c>
      <c r="AG20" s="3" t="s">
        <v>156</v>
      </c>
      <c r="AH20" s="3" t="s">
        <v>177</v>
      </c>
      <c r="AI20" s="3">
        <v>12</v>
      </c>
      <c r="AJ20" s="3">
        <v>48</v>
      </c>
      <c r="AK20" s="3">
        <v>10</v>
      </c>
      <c r="AL20" s="3" t="s">
        <v>158</v>
      </c>
      <c r="AM20" s="3">
        <v>160</v>
      </c>
      <c r="AN20" s="3">
        <v>91</v>
      </c>
      <c r="AO20" s="3">
        <v>33</v>
      </c>
      <c r="AP20" s="3">
        <v>55</v>
      </c>
      <c r="AQ20" s="3">
        <v>36</v>
      </c>
      <c r="AR20" s="3">
        <v>90</v>
      </c>
      <c r="AS20" s="3">
        <v>34</v>
      </c>
      <c r="AT20" s="3">
        <v>85</v>
      </c>
      <c r="AU20" s="3">
        <v>76</v>
      </c>
      <c r="AV20" s="3">
        <v>95</v>
      </c>
      <c r="AW20" s="3">
        <v>77</v>
      </c>
      <c r="AX20" s="3">
        <v>96</v>
      </c>
      <c r="AY20" s="3">
        <f>NORMINV(AV20/100,0,1)-NORMINV(1-(AX20/100),0,1)</f>
        <v>3.395539698203641</v>
      </c>
      <c r="AZ20" s="31">
        <f>NORMSINV((AV20*(80/100)+0.5)/81)-NORMSINV(1-(AX20*(80/100)+0.5)/81)</f>
        <v>3.2814960447310035</v>
      </c>
      <c r="BA20" s="3">
        <v>25</v>
      </c>
      <c r="BB20" s="3">
        <v>83</v>
      </c>
      <c r="BC20" s="3">
        <v>14</v>
      </c>
      <c r="BD20" s="3">
        <v>93</v>
      </c>
      <c r="BE20" s="3">
        <v>11</v>
      </c>
      <c r="BF20" s="3">
        <v>73</v>
      </c>
      <c r="BG20" s="3">
        <v>18</v>
      </c>
      <c r="BH20" s="3">
        <v>60</v>
      </c>
      <c r="BI20" s="3">
        <v>29</v>
      </c>
      <c r="BJ20" s="3">
        <v>97</v>
      </c>
      <c r="BK20" s="3">
        <v>52</v>
      </c>
      <c r="BL20" s="3">
        <v>82</v>
      </c>
      <c r="BM20" s="3">
        <v>164</v>
      </c>
      <c r="BN20" s="3">
        <v>82</v>
      </c>
      <c r="BO20" s="21">
        <v>80</v>
      </c>
      <c r="BP20" s="3">
        <v>47</v>
      </c>
      <c r="BQ20" s="3">
        <v>90</v>
      </c>
      <c r="BR20" s="3" t="s">
        <v>185</v>
      </c>
      <c r="BS20" s="3">
        <v>2.6</v>
      </c>
      <c r="BT20" s="3">
        <v>35</v>
      </c>
      <c r="BU20" s="3">
        <v>88</v>
      </c>
      <c r="BV20" s="3">
        <v>2.23</v>
      </c>
      <c r="BW20" s="3">
        <v>39</v>
      </c>
      <c r="BX20" s="3">
        <v>98</v>
      </c>
      <c r="BY20" s="3">
        <v>7</v>
      </c>
      <c r="BZ20" s="3" t="s">
        <v>186</v>
      </c>
      <c r="CA20" s="3" t="s">
        <v>186</v>
      </c>
      <c r="CB20" s="33">
        <v>15</v>
      </c>
      <c r="CC20" s="34">
        <v>8.5714285714285715E-2</v>
      </c>
      <c r="CD20" s="3">
        <v>97</v>
      </c>
      <c r="CE20" s="3">
        <v>97</v>
      </c>
      <c r="CF20" s="3">
        <v>100</v>
      </c>
      <c r="CG20" s="3">
        <v>100</v>
      </c>
      <c r="CH20" s="3" t="s">
        <v>160</v>
      </c>
      <c r="CI20" s="3" t="s">
        <v>161</v>
      </c>
      <c r="CJ20" s="3" t="s">
        <v>161</v>
      </c>
      <c r="CK20" s="49" t="s">
        <v>163</v>
      </c>
      <c r="CL20" s="1" t="s">
        <v>187</v>
      </c>
      <c r="CM20" s="3" t="s">
        <v>178</v>
      </c>
      <c r="CN20" s="3" t="s">
        <v>188</v>
      </c>
      <c r="CO20" s="13"/>
      <c r="CP20" s="99"/>
      <c r="CQ20" s="99"/>
      <c r="CR20" s="3" t="s">
        <v>189</v>
      </c>
      <c r="CS20" s="3" t="s">
        <v>160</v>
      </c>
      <c r="CT20" t="s">
        <v>160</v>
      </c>
      <c r="CU20" s="3">
        <v>100</v>
      </c>
      <c r="CV20" s="3">
        <v>96</v>
      </c>
      <c r="CW20" s="3">
        <v>100</v>
      </c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5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</row>
    <row r="21" spans="1:192" ht="60">
      <c r="A21" s="190">
        <v>20010</v>
      </c>
      <c r="B21" s="55" t="s">
        <v>150</v>
      </c>
      <c r="C21" s="2">
        <v>77</v>
      </c>
      <c r="D21" s="2">
        <v>8</v>
      </c>
      <c r="E21" s="2">
        <v>4</v>
      </c>
      <c r="F21" s="2">
        <v>13</v>
      </c>
      <c r="G21" s="2">
        <v>9.65</v>
      </c>
      <c r="H21" s="2">
        <v>7.8</v>
      </c>
      <c r="I21" s="35">
        <v>8.5</v>
      </c>
      <c r="J21" s="2" t="s">
        <v>190</v>
      </c>
      <c r="K21" s="40">
        <v>6.7580000000000001E-2</v>
      </c>
      <c r="L21" s="40">
        <v>1.052E-2</v>
      </c>
      <c r="M21" s="40">
        <v>7.9000000000000001E-4</v>
      </c>
      <c r="N21" s="100">
        <v>4.2000000000000003E-2</v>
      </c>
      <c r="O21" s="100">
        <v>1.7000000000000001E-2</v>
      </c>
      <c r="P21" s="100">
        <v>5.0000000000000001E-3</v>
      </c>
      <c r="Q21" s="40">
        <v>0.86599999999999999</v>
      </c>
      <c r="R21" s="40">
        <v>2.3E-2</v>
      </c>
      <c r="S21" s="40">
        <v>6.0000000000000001E-3</v>
      </c>
      <c r="T21" s="40">
        <v>1.2E-2</v>
      </c>
      <c r="U21" s="40">
        <v>9.2999999999999999E-2</v>
      </c>
      <c r="V21" s="40">
        <v>0</v>
      </c>
      <c r="W21" s="56">
        <v>85</v>
      </c>
      <c r="X21" s="40">
        <v>0.85099999999999998</v>
      </c>
      <c r="Y21" s="57">
        <v>149</v>
      </c>
      <c r="Z21" s="40">
        <v>2.3E-2</v>
      </c>
      <c r="AA21" s="40">
        <v>6.0000000000000001E-3</v>
      </c>
      <c r="AB21" s="40">
        <v>1.0999999999999999E-2</v>
      </c>
      <c r="AC21" s="40">
        <v>9.0999999999999998E-2</v>
      </c>
      <c r="AD21" s="40">
        <v>9.7000000000000003E-2</v>
      </c>
      <c r="AE21" s="40">
        <v>0</v>
      </c>
      <c r="AF21" s="36" t="s">
        <v>167</v>
      </c>
      <c r="AG21" s="36" t="s">
        <v>130</v>
      </c>
      <c r="AH21" s="36" t="s">
        <v>146</v>
      </c>
      <c r="AI21" s="36">
        <v>12</v>
      </c>
      <c r="AJ21" s="36">
        <v>50</v>
      </c>
      <c r="AK21" s="36">
        <v>27</v>
      </c>
      <c r="AL21" s="37" t="s">
        <v>132</v>
      </c>
      <c r="AM21" s="2">
        <v>166</v>
      </c>
      <c r="AN21" s="2">
        <v>95</v>
      </c>
      <c r="AO21" s="2">
        <v>30</v>
      </c>
      <c r="AP21" s="2">
        <v>50</v>
      </c>
      <c r="AQ21" s="2">
        <v>40</v>
      </c>
      <c r="AR21" s="2">
        <v>100</v>
      </c>
      <c r="AS21" s="2">
        <v>36</v>
      </c>
      <c r="AT21" s="2">
        <v>90</v>
      </c>
      <c r="AU21" s="2">
        <v>77</v>
      </c>
      <c r="AV21" s="2">
        <v>97</v>
      </c>
      <c r="AW21" s="2">
        <v>77</v>
      </c>
      <c r="AX21" s="2">
        <v>97</v>
      </c>
      <c r="AY21" s="2">
        <f>NORMINV(AV21/100,0,1)-NORMINV(1-(AX21/100),0,1)</f>
        <v>3.7615872163025008</v>
      </c>
      <c r="AZ21" s="31">
        <f>NORMSINV((AV21*(80/100)+0.5)/81)-NORMSINV(1-(AX21*(80/100)+0.5)/81)</f>
        <v>3.6032434825306208</v>
      </c>
      <c r="BA21" s="2">
        <v>25</v>
      </c>
      <c r="BB21" s="2">
        <v>83</v>
      </c>
      <c r="BC21" s="2">
        <v>12</v>
      </c>
      <c r="BD21" s="2">
        <v>80</v>
      </c>
      <c r="BE21" s="2">
        <v>13</v>
      </c>
      <c r="BF21" s="2">
        <v>87</v>
      </c>
      <c r="BG21" s="2">
        <v>23</v>
      </c>
      <c r="BH21" s="2">
        <v>77</v>
      </c>
      <c r="BI21" s="2">
        <v>29</v>
      </c>
      <c r="BJ21" s="2">
        <v>97</v>
      </c>
      <c r="BK21" s="2">
        <v>51</v>
      </c>
      <c r="BL21" s="2">
        <v>80</v>
      </c>
      <c r="BM21" s="2">
        <v>170</v>
      </c>
      <c r="BN21" s="2">
        <v>84</v>
      </c>
      <c r="BO21" s="47">
        <v>83</v>
      </c>
      <c r="BP21" s="2">
        <v>49</v>
      </c>
      <c r="BQ21" s="2">
        <v>94</v>
      </c>
      <c r="BR21" s="2" t="s">
        <v>148</v>
      </c>
      <c r="BS21" s="2">
        <v>3</v>
      </c>
      <c r="BT21" s="2">
        <v>37</v>
      </c>
      <c r="BU21" s="2">
        <v>93</v>
      </c>
      <c r="BV21" s="2">
        <v>2.62</v>
      </c>
      <c r="BW21" s="2">
        <v>38</v>
      </c>
      <c r="BX21" s="2">
        <v>95</v>
      </c>
      <c r="BY21" s="2">
        <v>7.3</v>
      </c>
      <c r="BZ21" s="2" t="s">
        <v>170</v>
      </c>
      <c r="CA21" s="2" t="s">
        <v>170</v>
      </c>
      <c r="CB21" s="94">
        <v>15</v>
      </c>
      <c r="CC21" s="94">
        <v>8.5999999999999993E-2</v>
      </c>
      <c r="CD21" s="2">
        <v>98</v>
      </c>
      <c r="CE21" s="2">
        <v>98</v>
      </c>
      <c r="CF21" s="2">
        <v>99</v>
      </c>
      <c r="CG21" s="2">
        <v>100</v>
      </c>
      <c r="CH21" s="2" t="s">
        <v>140</v>
      </c>
      <c r="CI21" s="2" t="s">
        <v>136</v>
      </c>
      <c r="CJ21" s="101" t="s">
        <v>191</v>
      </c>
      <c r="CK21" s="82" t="s">
        <v>163</v>
      </c>
      <c r="CL21" s="39" t="s">
        <v>151</v>
      </c>
      <c r="CM21" s="2" t="s">
        <v>175</v>
      </c>
      <c r="CN21" s="2" t="s">
        <v>136</v>
      </c>
      <c r="CO21" s="2" t="s">
        <v>136</v>
      </c>
      <c r="CP21" s="2" t="s">
        <v>136</v>
      </c>
      <c r="CQ21" s="2">
        <v>1</v>
      </c>
      <c r="CR21" s="2"/>
      <c r="CS21" s="2" t="s">
        <v>160</v>
      </c>
      <c r="CT21" s="59" t="s">
        <v>160</v>
      </c>
      <c r="CU21" s="2" t="s">
        <v>192</v>
      </c>
      <c r="CV21" s="2">
        <v>100</v>
      </c>
      <c r="CW21" s="2">
        <v>100</v>
      </c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</row>
    <row r="22" spans="1:192" s="13" customFormat="1" ht="45">
      <c r="A22" s="190">
        <v>20011</v>
      </c>
      <c r="B22" s="72" t="s">
        <v>150</v>
      </c>
      <c r="C22" s="3">
        <v>53.8</v>
      </c>
      <c r="D22" s="3">
        <v>6</v>
      </c>
      <c r="E22" s="3">
        <v>6</v>
      </c>
      <c r="F22" s="3">
        <v>12</v>
      </c>
      <c r="G22" s="3">
        <v>6.2</v>
      </c>
      <c r="H22" s="3">
        <v>5</v>
      </c>
      <c r="I22" s="35">
        <v>3.7</v>
      </c>
      <c r="J22" s="3" t="s">
        <v>193</v>
      </c>
      <c r="K22" s="27">
        <v>1.5089999999999999E-2</v>
      </c>
      <c r="L22" s="27">
        <v>1.6740000000000001E-2</v>
      </c>
      <c r="M22" s="27">
        <v>3.3730000000000003E-2</v>
      </c>
      <c r="N22" s="27">
        <v>1.5089999999999999E-2</v>
      </c>
      <c r="O22" s="27">
        <v>1.6740000000000001E-2</v>
      </c>
      <c r="P22" s="27">
        <v>3.3730000000000003E-2</v>
      </c>
      <c r="Q22" s="27">
        <v>0.432</v>
      </c>
      <c r="R22" s="27">
        <v>0.13700000000000001</v>
      </c>
      <c r="S22" s="27">
        <v>7.3999999999999996E-2</v>
      </c>
      <c r="T22" s="27">
        <v>6.3E-2</v>
      </c>
      <c r="U22" s="27">
        <v>0.253</v>
      </c>
      <c r="V22" s="27">
        <v>4.2000000000000003E-2</v>
      </c>
      <c r="W22" s="52">
        <v>23</v>
      </c>
      <c r="X22" s="27">
        <v>0.23400000000000001</v>
      </c>
      <c r="Y22" s="52">
        <v>41</v>
      </c>
      <c r="Z22" s="27">
        <v>7.3999999999999996E-2</v>
      </c>
      <c r="AA22" s="27">
        <v>0.04</v>
      </c>
      <c r="AB22" s="27">
        <v>3.4000000000000002E-2</v>
      </c>
      <c r="AC22" s="27">
        <v>0.13700000000000001</v>
      </c>
      <c r="AD22" s="27">
        <f>AC22+AA22</f>
        <v>0.17700000000000002</v>
      </c>
      <c r="AE22" s="27">
        <v>2.3E-2</v>
      </c>
      <c r="AF22" s="3" t="s">
        <v>129</v>
      </c>
      <c r="AG22" s="3" t="s">
        <v>156</v>
      </c>
      <c r="AH22" s="1" t="s">
        <v>131</v>
      </c>
      <c r="AI22" s="3">
        <v>12</v>
      </c>
      <c r="AJ22" s="3">
        <v>41</v>
      </c>
      <c r="AK22" s="3">
        <v>16</v>
      </c>
      <c r="AL22" s="3" t="s">
        <v>132</v>
      </c>
      <c r="AM22" s="3">
        <v>114</v>
      </c>
      <c r="AN22" s="3">
        <v>65</v>
      </c>
      <c r="AO22" s="3">
        <v>19</v>
      </c>
      <c r="AP22" s="3">
        <v>32</v>
      </c>
      <c r="AQ22" s="3">
        <v>33</v>
      </c>
      <c r="AR22" s="3">
        <v>83</v>
      </c>
      <c r="AS22" s="3">
        <v>26</v>
      </c>
      <c r="AT22" s="3">
        <v>65</v>
      </c>
      <c r="AU22" s="3">
        <v>64</v>
      </c>
      <c r="AV22" s="3">
        <v>80</v>
      </c>
      <c r="AW22" s="3">
        <v>58</v>
      </c>
      <c r="AX22" s="3">
        <v>73</v>
      </c>
      <c r="AY22" s="3">
        <f>NORMINV(AV22/100,0,1)-NORMINV(1-(AX22/100),0,1)</f>
        <v>1.4544342245895421</v>
      </c>
      <c r="AZ22" s="31">
        <f>NORMSINV((AV22*(80/100)+0.5)/81)-NORMSINV(1-(AX22*(80/100)+0.5)/81)</f>
        <v>1.4327122879730325</v>
      </c>
      <c r="BA22" s="3">
        <v>19</v>
      </c>
      <c r="BB22" s="3">
        <v>63</v>
      </c>
      <c r="BC22" s="3">
        <v>9</v>
      </c>
      <c r="BD22" s="3">
        <v>60</v>
      </c>
      <c r="BE22" s="3">
        <v>10</v>
      </c>
      <c r="BF22" s="3">
        <v>67</v>
      </c>
      <c r="BG22" s="3">
        <v>13</v>
      </c>
      <c r="BH22" s="3">
        <v>43</v>
      </c>
      <c r="BI22" s="3">
        <v>22</v>
      </c>
      <c r="BJ22" s="3">
        <v>73</v>
      </c>
      <c r="BK22" s="3">
        <v>36</v>
      </c>
      <c r="BL22" s="3">
        <v>56</v>
      </c>
      <c r="BM22" s="3">
        <v>86</v>
      </c>
      <c r="BN22" s="3">
        <v>40</v>
      </c>
      <c r="BO22" s="21">
        <v>42</v>
      </c>
      <c r="BP22" s="3">
        <v>40</v>
      </c>
      <c r="BQ22" s="3">
        <v>77</v>
      </c>
      <c r="BR22" s="3" t="s">
        <v>139</v>
      </c>
      <c r="BS22" s="3">
        <v>1.4</v>
      </c>
      <c r="BT22" s="3">
        <v>26</v>
      </c>
      <c r="BU22" s="3">
        <v>65</v>
      </c>
      <c r="BV22" s="102">
        <v>0.5</v>
      </c>
      <c r="BW22" s="3">
        <v>38</v>
      </c>
      <c r="BX22" s="3">
        <v>95</v>
      </c>
      <c r="BY22" s="3">
        <v>1.66</v>
      </c>
      <c r="BZ22" s="3" t="s">
        <v>194</v>
      </c>
      <c r="CA22" s="3" t="s">
        <v>194</v>
      </c>
      <c r="CB22" s="103">
        <v>28</v>
      </c>
      <c r="CC22" s="103">
        <v>0.16</v>
      </c>
      <c r="CD22" s="3">
        <v>71</v>
      </c>
      <c r="CE22" s="3">
        <v>74</v>
      </c>
      <c r="CF22" s="3">
        <v>92</v>
      </c>
      <c r="CG22" s="3">
        <v>90</v>
      </c>
      <c r="CH22" s="3" t="s">
        <v>140</v>
      </c>
      <c r="CI22" s="3" t="s">
        <v>136</v>
      </c>
      <c r="CJ22" s="49" t="s">
        <v>195</v>
      </c>
      <c r="CK22" s="49" t="s">
        <v>163</v>
      </c>
      <c r="CL22" s="3"/>
      <c r="CM22" s="3" t="s">
        <v>178</v>
      </c>
      <c r="CN22" s="3" t="s">
        <v>161</v>
      </c>
      <c r="CO22" s="3" t="s">
        <v>161</v>
      </c>
      <c r="CP22" s="3" t="s">
        <v>161</v>
      </c>
      <c r="CQ22" s="3">
        <v>1</v>
      </c>
      <c r="CR22" s="3"/>
      <c r="CS22" t="s">
        <v>160</v>
      </c>
      <c r="CT22" t="s">
        <v>160</v>
      </c>
      <c r="CU22" s="3">
        <v>100</v>
      </c>
      <c r="CV22" s="3">
        <v>96</v>
      </c>
      <c r="CW22" s="3">
        <v>100</v>
      </c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5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</row>
    <row r="23" spans="1:192" ht="60">
      <c r="A23" s="190">
        <v>20012</v>
      </c>
      <c r="B23" s="51" t="s">
        <v>196</v>
      </c>
      <c r="C23" s="3">
        <v>74.5</v>
      </c>
      <c r="D23" s="1">
        <v>6</v>
      </c>
      <c r="E23" s="3">
        <v>5</v>
      </c>
      <c r="F23" s="1">
        <v>12</v>
      </c>
      <c r="G23" s="3">
        <v>7.75</v>
      </c>
      <c r="H23" s="1">
        <v>9.3000000000000007</v>
      </c>
      <c r="I23" s="15">
        <v>6.2</v>
      </c>
      <c r="J23" s="1" t="s">
        <v>128</v>
      </c>
      <c r="K23" s="26">
        <v>2.325E-2</v>
      </c>
      <c r="L23" s="26">
        <v>3.108E-2</v>
      </c>
      <c r="M23" s="26">
        <v>8.0300000000000007E-3</v>
      </c>
      <c r="N23" s="27">
        <v>2.325E-2</v>
      </c>
      <c r="O23" s="27">
        <v>3.108E-2</v>
      </c>
      <c r="P23" s="27">
        <v>8.0300000000000007E-3</v>
      </c>
      <c r="Q23" s="27">
        <v>0.86199999999999999</v>
      </c>
      <c r="R23" s="27">
        <v>7.8E-2</v>
      </c>
      <c r="S23" s="27">
        <v>1.7999999999999999E-2</v>
      </c>
      <c r="T23" s="27">
        <v>1.2E-2</v>
      </c>
      <c r="U23" s="27">
        <v>1.2E-2</v>
      </c>
      <c r="V23" s="27">
        <v>1.7999999999999999E-2</v>
      </c>
      <c r="W23" s="52">
        <v>82</v>
      </c>
      <c r="X23" s="18">
        <v>0.82285714285714284</v>
      </c>
      <c r="Y23" s="28">
        <v>144</v>
      </c>
      <c r="Z23" s="27">
        <v>7.3999999999999996E-2</v>
      </c>
      <c r="AA23" s="27">
        <v>1.7000000000000001E-2</v>
      </c>
      <c r="AB23" s="27">
        <v>1.0999999999999999E-2</v>
      </c>
      <c r="AC23" s="27">
        <v>1.0999999999999999E-2</v>
      </c>
      <c r="AD23" s="27">
        <f>AC23+AA23</f>
        <v>2.8000000000000001E-2</v>
      </c>
      <c r="AE23" s="27">
        <v>1.7000000000000001E-2</v>
      </c>
      <c r="AF23" s="1" t="s">
        <v>167</v>
      </c>
      <c r="AG23" s="1" t="s">
        <v>130</v>
      </c>
      <c r="AH23" s="1" t="s">
        <v>146</v>
      </c>
      <c r="AI23" s="1">
        <v>20</v>
      </c>
      <c r="AJ23" s="3">
        <v>70</v>
      </c>
      <c r="AK23" s="3">
        <v>0.5</v>
      </c>
      <c r="AL23" s="3" t="s">
        <v>132</v>
      </c>
      <c r="AM23" s="1">
        <v>170</v>
      </c>
      <c r="AN23" s="3">
        <v>97</v>
      </c>
      <c r="AO23" s="1">
        <v>49</v>
      </c>
      <c r="AP23" s="3">
        <v>82</v>
      </c>
      <c r="AQ23" s="1">
        <v>36</v>
      </c>
      <c r="AR23" s="3">
        <v>90</v>
      </c>
      <c r="AS23" s="1">
        <v>34</v>
      </c>
      <c r="AT23" s="3">
        <v>85</v>
      </c>
      <c r="AU23" s="1">
        <v>35</v>
      </c>
      <c r="AV23" s="3">
        <v>88</v>
      </c>
      <c r="AW23" s="1">
        <v>35</v>
      </c>
      <c r="AX23" s="3">
        <v>88</v>
      </c>
      <c r="AY23" s="30">
        <f>NORMINV(AV23/100,0,1)-NORMINV(1-(AX23/100),0,1)</f>
        <v>2.3499735841321807</v>
      </c>
      <c r="AZ23" s="31">
        <f>NORMSINV((AV23*(80/100)+0.5)/81)-NORMSINV(1-(AX23*(80/100)+0.5)/81)</f>
        <v>2.3037000069563001</v>
      </c>
      <c r="BA23" s="1">
        <v>28</v>
      </c>
      <c r="BB23" s="3">
        <v>93</v>
      </c>
      <c r="BC23" s="1">
        <v>15</v>
      </c>
      <c r="BD23" s="3">
        <v>100</v>
      </c>
      <c r="BE23" s="1">
        <v>13</v>
      </c>
      <c r="BF23" s="3">
        <v>87</v>
      </c>
      <c r="BG23" s="1">
        <v>25</v>
      </c>
      <c r="BH23" s="3">
        <v>83</v>
      </c>
      <c r="BI23" s="1">
        <v>27</v>
      </c>
      <c r="BJ23" s="3">
        <v>90</v>
      </c>
      <c r="BK23" s="1">
        <v>55</v>
      </c>
      <c r="BL23" s="3">
        <v>86</v>
      </c>
      <c r="BM23" s="1">
        <v>189</v>
      </c>
      <c r="BN23" s="3">
        <v>101</v>
      </c>
      <c r="BO23" s="21">
        <f>(BM23/204)*100</f>
        <v>92.64705882352942</v>
      </c>
      <c r="BP23" s="1">
        <v>50</v>
      </c>
      <c r="BQ23" s="3">
        <v>96</v>
      </c>
      <c r="BR23" s="3" t="s">
        <v>133</v>
      </c>
      <c r="BS23" s="3">
        <v>3.4</v>
      </c>
      <c r="BT23" s="1">
        <v>35</v>
      </c>
      <c r="BU23" s="3">
        <v>88</v>
      </c>
      <c r="BV23" s="3">
        <v>3.52</v>
      </c>
      <c r="BW23" s="1">
        <v>37</v>
      </c>
      <c r="BX23" s="3">
        <v>93</v>
      </c>
      <c r="BY23" s="3">
        <v>6</v>
      </c>
      <c r="BZ23" s="23" t="s">
        <v>134</v>
      </c>
      <c r="CA23" s="23" t="s">
        <v>134</v>
      </c>
      <c r="CB23" s="33">
        <v>0</v>
      </c>
      <c r="CC23" s="34">
        <v>0</v>
      </c>
      <c r="CD23" s="3">
        <v>91</v>
      </c>
      <c r="CE23" s="3">
        <v>93</v>
      </c>
      <c r="CF23" s="3">
        <v>96</v>
      </c>
      <c r="CG23" s="1">
        <v>100</v>
      </c>
      <c r="CH23" s="1" t="s">
        <v>140</v>
      </c>
      <c r="CI23" s="3" t="s">
        <v>136</v>
      </c>
      <c r="CJ23" s="3" t="s">
        <v>136</v>
      </c>
      <c r="CK23" s="3" t="s">
        <v>136</v>
      </c>
      <c r="CL23" s="1" t="s">
        <v>151</v>
      </c>
      <c r="CM23" s="3" t="s">
        <v>143</v>
      </c>
      <c r="CN23" s="3" t="s">
        <v>136</v>
      </c>
      <c r="CO23" s="3" t="s">
        <v>136</v>
      </c>
      <c r="CP23" s="3" t="s">
        <v>136</v>
      </c>
      <c r="CQ23" s="3">
        <v>1</v>
      </c>
      <c r="CR23" s="1"/>
      <c r="CS23" s="1" t="s">
        <v>138</v>
      </c>
      <c r="CT23" s="1" t="s">
        <v>138</v>
      </c>
      <c r="CU23" s="1" t="s">
        <v>138</v>
      </c>
      <c r="CV23" s="1" t="s">
        <v>138</v>
      </c>
      <c r="CW23" s="1" t="s">
        <v>138</v>
      </c>
    </row>
    <row r="24" spans="1:192">
      <c r="A24" s="190">
        <v>20012</v>
      </c>
      <c r="B24" s="96"/>
      <c r="C24" s="10">
        <v>93.8</v>
      </c>
      <c r="D24" s="10">
        <v>10</v>
      </c>
      <c r="E24" s="10">
        <v>9</v>
      </c>
      <c r="F24" s="10">
        <v>19</v>
      </c>
      <c r="G24" s="10">
        <v>9.1</v>
      </c>
      <c r="H24" s="10">
        <v>9.6</v>
      </c>
      <c r="I24" s="35">
        <v>9.1999999999999993</v>
      </c>
      <c r="J24" s="10" t="s">
        <v>128</v>
      </c>
      <c r="K24" s="62"/>
      <c r="L24" s="62"/>
      <c r="M24" s="62"/>
      <c r="N24" s="62"/>
      <c r="O24" s="62"/>
      <c r="P24" s="62"/>
      <c r="Q24" s="62">
        <v>0.91900000000000004</v>
      </c>
      <c r="R24" s="62">
        <v>2.3E-2</v>
      </c>
      <c r="S24" s="62">
        <v>6.0000000000000001E-3</v>
      </c>
      <c r="T24" s="62">
        <v>3.5000000000000003E-2</v>
      </c>
      <c r="U24" s="62">
        <v>1.7000000000000001E-2</v>
      </c>
      <c r="V24" s="62">
        <v>0</v>
      </c>
      <c r="W24" s="63">
        <v>90</v>
      </c>
      <c r="X24" s="62">
        <v>0.90300000000000002</v>
      </c>
      <c r="Y24" s="63">
        <v>158</v>
      </c>
      <c r="Z24" s="62">
        <v>2.3E-2</v>
      </c>
      <c r="AA24" s="62">
        <v>6.0000000000000001E-3</v>
      </c>
      <c r="AB24" s="62">
        <v>3.4000000000000002E-2</v>
      </c>
      <c r="AC24" s="62">
        <v>1.7000000000000001E-2</v>
      </c>
      <c r="AD24" s="62">
        <f>AC24+AA24</f>
        <v>2.3E-2</v>
      </c>
      <c r="AE24" s="62">
        <v>0</v>
      </c>
      <c r="AF24" s="62"/>
      <c r="AG24" s="12"/>
      <c r="AH24" s="12"/>
      <c r="AI24" s="12"/>
      <c r="AJ24" s="10"/>
      <c r="AK24" s="10"/>
      <c r="AL24" s="10"/>
      <c r="AM24" s="10"/>
      <c r="AN24" s="10"/>
      <c r="AO24" s="11"/>
      <c r="AP24" s="10"/>
      <c r="AQ24" s="10"/>
      <c r="AR24" s="10"/>
      <c r="AS24" s="10"/>
      <c r="AT24" s="10"/>
      <c r="AU24" s="10"/>
      <c r="AV24" s="10"/>
      <c r="AW24" s="10"/>
      <c r="AX24" s="10"/>
      <c r="AY24" s="66"/>
      <c r="AZ24" s="67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>
        <v>191</v>
      </c>
      <c r="BN24" s="10">
        <v>105</v>
      </c>
      <c r="BO24" s="104">
        <f>(BM24/204)*100</f>
        <v>93.627450980392155</v>
      </c>
      <c r="BP24" s="10">
        <v>49</v>
      </c>
      <c r="BQ24" s="10">
        <v>94</v>
      </c>
      <c r="BR24" s="10"/>
      <c r="BS24" s="10">
        <v>3.4</v>
      </c>
      <c r="BT24" s="10"/>
      <c r="BU24" s="10"/>
      <c r="BV24" s="10"/>
      <c r="BW24" s="10"/>
      <c r="BX24" s="10"/>
      <c r="BY24" s="10"/>
      <c r="BZ24" s="10"/>
      <c r="CA24" s="10"/>
      <c r="CB24" s="105"/>
      <c r="CC24" s="105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6"/>
      <c r="CT24" s="106"/>
      <c r="CU24" s="106"/>
      <c r="CV24" s="106"/>
      <c r="CW24" s="106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10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10"/>
      <c r="FX24" s="10"/>
      <c r="FY24" s="10"/>
      <c r="FZ24" s="10"/>
      <c r="GA24" s="10"/>
      <c r="GB24" s="10"/>
      <c r="GC24" s="10"/>
      <c r="GD24" s="10"/>
      <c r="GE24" s="10"/>
      <c r="GF24" s="10"/>
      <c r="GG24" s="10"/>
      <c r="GH24" s="10"/>
      <c r="GI24" s="10"/>
      <c r="GJ24" s="10"/>
    </row>
    <row r="25" spans="1:192">
      <c r="A25" s="190">
        <v>20012</v>
      </c>
      <c r="B25" s="38" t="s">
        <v>196</v>
      </c>
      <c r="C25" s="2">
        <v>88.1</v>
      </c>
      <c r="D25" s="2">
        <v>10</v>
      </c>
      <c r="E25" s="2">
        <v>8</v>
      </c>
      <c r="F25" s="2">
        <v>18</v>
      </c>
      <c r="G25" s="2">
        <v>9.75</v>
      </c>
      <c r="H25" s="2">
        <v>9.1999999999999993</v>
      </c>
      <c r="I25" s="2">
        <v>9.1</v>
      </c>
      <c r="J25" s="2" t="s">
        <v>128</v>
      </c>
      <c r="K25" s="148">
        <v>7.7740000000000004E-2</v>
      </c>
      <c r="L25" s="148">
        <v>3.5229999999999997E-2</v>
      </c>
      <c r="M25" s="148">
        <v>3.1700000000000001E-3</v>
      </c>
      <c r="N25" s="148">
        <v>3.2000000000000001E-2</v>
      </c>
      <c r="O25" s="148">
        <v>0.05</v>
      </c>
      <c r="P25" s="148">
        <v>5.0000000000000001E-3</v>
      </c>
      <c r="Q25" s="148">
        <v>0.96</v>
      </c>
      <c r="R25" s="148">
        <v>3.5000000000000003E-2</v>
      </c>
      <c r="S25" s="148">
        <v>0</v>
      </c>
      <c r="T25" s="148">
        <v>6.0000000000000001E-3</v>
      </c>
      <c r="U25" s="148">
        <v>0</v>
      </c>
      <c r="V25" s="148">
        <v>0</v>
      </c>
      <c r="W25" s="57">
        <v>95</v>
      </c>
      <c r="X25" s="148">
        <v>0.94899999999999995</v>
      </c>
      <c r="Y25" s="57">
        <v>166</v>
      </c>
      <c r="Z25" s="148">
        <v>3.4000000000000002E-2</v>
      </c>
      <c r="AA25" s="148">
        <v>0</v>
      </c>
      <c r="AB25" s="148">
        <v>6.0000000000000001E-3</v>
      </c>
      <c r="AC25" s="148">
        <v>0</v>
      </c>
      <c r="AD25" s="148">
        <v>0</v>
      </c>
      <c r="AE25" s="148">
        <v>0</v>
      </c>
      <c r="AF25" s="148" t="s">
        <v>167</v>
      </c>
      <c r="AG25" s="39" t="s">
        <v>130</v>
      </c>
      <c r="AH25" s="39" t="s">
        <v>146</v>
      </c>
      <c r="AI25" s="39">
        <v>20</v>
      </c>
      <c r="AJ25" s="2">
        <v>71</v>
      </c>
      <c r="AK25" s="2">
        <v>6</v>
      </c>
      <c r="AL25" s="2" t="s">
        <v>132</v>
      </c>
      <c r="AM25" s="2">
        <v>173</v>
      </c>
      <c r="AN25" s="2">
        <v>99</v>
      </c>
      <c r="AO25" s="9">
        <v>41</v>
      </c>
      <c r="AP25" s="2">
        <v>68</v>
      </c>
      <c r="AQ25" s="2">
        <v>38</v>
      </c>
      <c r="AR25" s="2">
        <v>95</v>
      </c>
      <c r="AS25" s="2">
        <v>36</v>
      </c>
      <c r="AT25" s="2">
        <v>90</v>
      </c>
      <c r="AU25" s="2">
        <v>77</v>
      </c>
      <c r="AV25" s="2">
        <v>96</v>
      </c>
      <c r="AW25" s="2">
        <v>79</v>
      </c>
      <c r="AX25" s="2">
        <v>99</v>
      </c>
      <c r="AY25" s="30">
        <f t="shared" ref="AY25:AY33" si="3">NORMINV(AV25/100,0,1)-NORMINV(1-(AX25/100),0,1)</f>
        <v>4.0770339452930102</v>
      </c>
      <c r="AZ25" s="31">
        <f t="shared" ref="AZ25:AZ33" si="4">NORMSINV((AV25*(80/100)+0.5)/81)-NORMSINV(1-(AX25*(80/100)+0.5)/81)</f>
        <v>3.8314557586168743</v>
      </c>
      <c r="BA25" s="2">
        <v>28</v>
      </c>
      <c r="BB25" s="2">
        <v>93</v>
      </c>
      <c r="BC25" s="2">
        <v>14</v>
      </c>
      <c r="BD25" s="2">
        <v>93</v>
      </c>
      <c r="BE25" s="2">
        <v>14</v>
      </c>
      <c r="BF25" s="2">
        <v>93</v>
      </c>
      <c r="BG25" s="2">
        <v>22</v>
      </c>
      <c r="BH25" s="2">
        <v>73</v>
      </c>
      <c r="BI25" s="2">
        <v>30</v>
      </c>
      <c r="BJ25" s="2">
        <v>100</v>
      </c>
      <c r="BK25" s="2">
        <v>56</v>
      </c>
      <c r="BL25" s="2">
        <v>88</v>
      </c>
      <c r="BM25" s="2">
        <v>190</v>
      </c>
      <c r="BN25" s="2">
        <v>104</v>
      </c>
      <c r="BO25" s="149">
        <f>(BM25/204)*100</f>
        <v>93.137254901960787</v>
      </c>
      <c r="BP25" s="2">
        <v>51</v>
      </c>
      <c r="BQ25" s="2">
        <v>98</v>
      </c>
      <c r="BR25" s="2" t="s">
        <v>165</v>
      </c>
      <c r="BS25" s="2">
        <v>3.2</v>
      </c>
      <c r="BT25" s="2">
        <v>37</v>
      </c>
      <c r="BU25" s="2">
        <v>93</v>
      </c>
      <c r="BV25" s="2">
        <v>3.2</v>
      </c>
      <c r="BW25" s="2">
        <v>6.27</v>
      </c>
      <c r="BX25" s="2">
        <v>100</v>
      </c>
      <c r="BY25" s="2">
        <v>6.27</v>
      </c>
      <c r="BZ25" s="2" t="s">
        <v>134</v>
      </c>
      <c r="CA25" s="2" t="s">
        <v>134</v>
      </c>
      <c r="CB25" s="94">
        <v>0</v>
      </c>
      <c r="CC25" s="94">
        <v>0</v>
      </c>
      <c r="CD25" s="2">
        <v>99</v>
      </c>
      <c r="CE25" s="2">
        <v>99</v>
      </c>
      <c r="CF25" s="2">
        <v>100</v>
      </c>
      <c r="CG25" s="2">
        <v>100</v>
      </c>
      <c r="CH25" s="2" t="s">
        <v>140</v>
      </c>
      <c r="CI25" s="2" t="s">
        <v>174</v>
      </c>
      <c r="CJ25" s="2" t="s">
        <v>174</v>
      </c>
      <c r="CK25" s="2" t="s">
        <v>174</v>
      </c>
      <c r="CL25" s="2"/>
      <c r="CM25" s="2" t="s">
        <v>143</v>
      </c>
      <c r="CN25" s="2" t="s">
        <v>174</v>
      </c>
      <c r="CO25" s="2" t="s">
        <v>174</v>
      </c>
      <c r="CP25" s="2" t="s">
        <v>174</v>
      </c>
      <c r="CQ25" s="2"/>
      <c r="CR25" s="2"/>
      <c r="CS25" s="173" t="s">
        <v>197</v>
      </c>
      <c r="CT25" s="173" t="s">
        <v>197</v>
      </c>
      <c r="CU25" s="173" t="s">
        <v>197</v>
      </c>
      <c r="CV25" s="173" t="s">
        <v>197</v>
      </c>
      <c r="CW25" s="173" t="s">
        <v>197</v>
      </c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</row>
    <row r="26" spans="1:192" ht="30">
      <c r="A26" s="190">
        <v>20013</v>
      </c>
      <c r="B26" s="51" t="s">
        <v>198</v>
      </c>
      <c r="C26" s="3">
        <v>92.8</v>
      </c>
      <c r="D26" s="3">
        <v>9.5</v>
      </c>
      <c r="E26" s="3">
        <v>9</v>
      </c>
      <c r="F26" s="3">
        <v>18.5</v>
      </c>
      <c r="G26" s="3">
        <v>10</v>
      </c>
      <c r="H26" s="3">
        <v>8.8000000000000007</v>
      </c>
      <c r="I26" s="35">
        <v>9.1</v>
      </c>
      <c r="J26" s="3" t="s">
        <v>199</v>
      </c>
      <c r="K26" s="27">
        <v>9.9860000000000004E-2</v>
      </c>
      <c r="L26" s="27">
        <v>6.8500000000000002E-3</v>
      </c>
      <c r="M26" s="27">
        <v>6.5100000000000002E-3</v>
      </c>
      <c r="N26" s="27">
        <v>3.5000000000000003E-2</v>
      </c>
      <c r="O26" s="27">
        <v>0.02</v>
      </c>
      <c r="P26" s="27">
        <v>1.1599999999999999E-2</v>
      </c>
      <c r="Q26" s="27">
        <v>0.86299999999999999</v>
      </c>
      <c r="R26" s="27">
        <v>4.8000000000000001E-2</v>
      </c>
      <c r="S26" s="27">
        <v>0</v>
      </c>
      <c r="T26" s="27">
        <v>1.2E-2</v>
      </c>
      <c r="U26" s="27">
        <v>7.6999999999999999E-2</v>
      </c>
      <c r="V26" s="27">
        <v>0</v>
      </c>
      <c r="W26" s="52">
        <v>83</v>
      </c>
      <c r="X26" s="27">
        <v>0.82899999999999996</v>
      </c>
      <c r="Y26" s="52">
        <v>145</v>
      </c>
      <c r="Z26" s="27">
        <v>4.5999999999999999E-2</v>
      </c>
      <c r="AA26" s="27">
        <v>0</v>
      </c>
      <c r="AB26" s="27">
        <v>1.0999999999999999E-2</v>
      </c>
      <c r="AC26" s="27">
        <v>7.3999999999999996E-2</v>
      </c>
      <c r="AD26" s="27">
        <f>AC26+AA26</f>
        <v>7.3999999999999996E-2</v>
      </c>
      <c r="AE26" s="27">
        <v>0</v>
      </c>
      <c r="AF26" s="3" t="s">
        <v>172</v>
      </c>
      <c r="AG26" s="3" t="s">
        <v>156</v>
      </c>
      <c r="AH26" s="3" t="s">
        <v>177</v>
      </c>
      <c r="AI26" s="3">
        <v>20</v>
      </c>
      <c r="AJ26" s="3">
        <v>71</v>
      </c>
      <c r="AK26" s="3">
        <v>12</v>
      </c>
      <c r="AL26" s="3" t="s">
        <v>158</v>
      </c>
      <c r="AM26" s="3">
        <v>169</v>
      </c>
      <c r="AN26" s="3">
        <v>97</v>
      </c>
      <c r="AO26" s="3">
        <v>40</v>
      </c>
      <c r="AP26" s="3">
        <v>67</v>
      </c>
      <c r="AQ26" s="3">
        <v>37</v>
      </c>
      <c r="AR26" s="3">
        <v>93</v>
      </c>
      <c r="AS26" s="3">
        <v>36</v>
      </c>
      <c r="AT26" s="3">
        <v>90</v>
      </c>
      <c r="AU26" s="3">
        <v>80</v>
      </c>
      <c r="AV26" s="3">
        <v>100</v>
      </c>
      <c r="AW26" s="3">
        <v>77</v>
      </c>
      <c r="AX26" s="3">
        <v>96</v>
      </c>
      <c r="AY26" s="3" t="e">
        <f t="shared" si="3"/>
        <v>#NUM!</v>
      </c>
      <c r="AZ26" s="31">
        <f t="shared" si="4"/>
        <v>4.1903837000510169</v>
      </c>
      <c r="BA26" s="3">
        <v>27</v>
      </c>
      <c r="BB26" s="3">
        <v>90</v>
      </c>
      <c r="BC26" s="3">
        <v>14</v>
      </c>
      <c r="BD26" s="3">
        <v>93</v>
      </c>
      <c r="BE26" s="3">
        <v>13</v>
      </c>
      <c r="BF26" s="3">
        <v>87</v>
      </c>
      <c r="BG26" s="3">
        <v>23</v>
      </c>
      <c r="BH26" s="3">
        <v>77</v>
      </c>
      <c r="BI26" s="3">
        <v>29</v>
      </c>
      <c r="BJ26" s="3">
        <v>97</v>
      </c>
      <c r="BK26" s="3">
        <v>54</v>
      </c>
      <c r="BL26" s="3">
        <v>84</v>
      </c>
      <c r="BM26" s="3">
        <v>191</v>
      </c>
      <c r="BN26" s="3">
        <v>105</v>
      </c>
      <c r="BO26" s="21">
        <v>94</v>
      </c>
      <c r="BP26" s="3">
        <v>47</v>
      </c>
      <c r="BQ26" s="3">
        <v>90</v>
      </c>
      <c r="BR26" s="3" t="s">
        <v>185</v>
      </c>
      <c r="BS26" s="3">
        <v>4.2</v>
      </c>
      <c r="BT26" s="3">
        <v>37</v>
      </c>
      <c r="BU26" s="3">
        <v>93</v>
      </c>
      <c r="BV26" s="3">
        <v>3.45</v>
      </c>
      <c r="BW26" s="3">
        <v>39</v>
      </c>
      <c r="BX26" s="3">
        <v>98</v>
      </c>
      <c r="BY26" s="3">
        <v>3.62</v>
      </c>
      <c r="BZ26" s="3" t="s">
        <v>159</v>
      </c>
      <c r="CA26" s="3" t="s">
        <v>159</v>
      </c>
      <c r="CB26" s="107" t="s">
        <v>200</v>
      </c>
      <c r="CC26" s="107" t="s">
        <v>200</v>
      </c>
      <c r="CD26" s="3">
        <v>98</v>
      </c>
      <c r="CE26" s="3">
        <v>98</v>
      </c>
      <c r="CF26" s="3">
        <v>98</v>
      </c>
      <c r="CG26" s="3">
        <v>100</v>
      </c>
      <c r="CH26" s="3" t="s">
        <v>160</v>
      </c>
      <c r="CI26" s="3" t="s">
        <v>161</v>
      </c>
      <c r="CJ26" s="3" t="s">
        <v>161</v>
      </c>
      <c r="CK26" s="3" t="s">
        <v>161</v>
      </c>
      <c r="CL26" s="3" t="s">
        <v>201</v>
      </c>
      <c r="CM26" s="3" t="s">
        <v>178</v>
      </c>
      <c r="CN26" s="3" t="s">
        <v>161</v>
      </c>
      <c r="CO26" s="3" t="s">
        <v>161</v>
      </c>
      <c r="CP26" s="49" t="s">
        <v>163</v>
      </c>
      <c r="CQ26" s="49"/>
      <c r="CS26" s="3" t="s">
        <v>160</v>
      </c>
      <c r="CT26" t="s">
        <v>160</v>
      </c>
      <c r="CU26" s="3">
        <v>100</v>
      </c>
      <c r="CV26" s="3">
        <v>100</v>
      </c>
      <c r="CW26" s="3">
        <v>100</v>
      </c>
    </row>
    <row r="27" spans="1:192" ht="60">
      <c r="A27" s="190">
        <v>20014</v>
      </c>
      <c r="B27" s="23" t="s">
        <v>166</v>
      </c>
      <c r="C27" s="108">
        <v>90.2</v>
      </c>
      <c r="D27" s="1">
        <v>9</v>
      </c>
      <c r="E27" s="108">
        <v>9</v>
      </c>
      <c r="F27" s="1">
        <v>18</v>
      </c>
      <c r="G27" s="108">
        <v>8.6999999999999993</v>
      </c>
      <c r="H27" s="1">
        <v>9.6999999999999993</v>
      </c>
      <c r="I27" s="15">
        <v>8.6999999999999993</v>
      </c>
      <c r="J27" s="1" t="s">
        <v>128</v>
      </c>
      <c r="K27" s="26">
        <v>1.968E-2</v>
      </c>
      <c r="L27" s="26">
        <v>2.9100000000000001E-2</v>
      </c>
      <c r="M27" s="26">
        <v>1.719E-2</v>
      </c>
      <c r="N27" s="27">
        <v>1.968E-2</v>
      </c>
      <c r="O27" s="27">
        <v>2.9100000000000001E-2</v>
      </c>
      <c r="P27" s="27">
        <v>1.719E-2</v>
      </c>
      <c r="Q27" s="27">
        <v>0.76400000000000001</v>
      </c>
      <c r="R27" s="27">
        <v>9.0999999999999998E-2</v>
      </c>
      <c r="S27" s="27">
        <v>2.4E-2</v>
      </c>
      <c r="T27" s="27">
        <v>4.8000000000000001E-2</v>
      </c>
      <c r="U27" s="27">
        <v>0.03</v>
      </c>
      <c r="V27" s="27">
        <v>4.2000000000000003E-2</v>
      </c>
      <c r="W27" s="28">
        <v>72</v>
      </c>
      <c r="X27" s="18">
        <v>0.72</v>
      </c>
      <c r="Y27" s="28">
        <v>126</v>
      </c>
      <c r="Z27" s="18">
        <v>8.5999999999999993E-2</v>
      </c>
      <c r="AA27" s="18">
        <v>2.3E-2</v>
      </c>
      <c r="AB27" s="18">
        <v>4.5999999999999999E-2</v>
      </c>
      <c r="AC27" s="18">
        <v>2.9000000000000001E-2</v>
      </c>
      <c r="AD27" s="27">
        <f>AC27+AA27</f>
        <v>5.2000000000000005E-2</v>
      </c>
      <c r="AE27" s="18">
        <v>0.04</v>
      </c>
      <c r="AF27" s="1" t="s">
        <v>167</v>
      </c>
      <c r="AG27" s="1" t="s">
        <v>130</v>
      </c>
      <c r="AH27" s="1" t="s">
        <v>146</v>
      </c>
      <c r="AI27" s="1">
        <v>19</v>
      </c>
      <c r="AJ27" s="1">
        <v>64</v>
      </c>
      <c r="AK27" s="1">
        <v>13</v>
      </c>
      <c r="AL27" s="1" t="s">
        <v>132</v>
      </c>
      <c r="AM27" s="1">
        <v>165</v>
      </c>
      <c r="AN27" s="1">
        <v>95</v>
      </c>
      <c r="AO27" s="1">
        <v>38</v>
      </c>
      <c r="AP27" s="3">
        <v>63</v>
      </c>
      <c r="AQ27" s="1">
        <v>37</v>
      </c>
      <c r="AR27" s="1">
        <v>93</v>
      </c>
      <c r="AS27" s="1">
        <v>35</v>
      </c>
      <c r="AT27" s="1">
        <v>88</v>
      </c>
      <c r="AU27" s="1">
        <v>74</v>
      </c>
      <c r="AV27" s="1">
        <v>93</v>
      </c>
      <c r="AW27" s="1">
        <v>74</v>
      </c>
      <c r="AX27" s="1">
        <v>93</v>
      </c>
      <c r="AY27" s="30">
        <f t="shared" si="3"/>
        <v>2.9515820563583421</v>
      </c>
      <c r="AZ27" s="31">
        <f t="shared" si="4"/>
        <v>2.8747090449026191</v>
      </c>
      <c r="BA27" s="1">
        <v>24</v>
      </c>
      <c r="BB27" s="1">
        <v>80</v>
      </c>
      <c r="BC27" s="1">
        <v>15</v>
      </c>
      <c r="BD27" s="1">
        <v>100</v>
      </c>
      <c r="BE27" s="1">
        <v>9</v>
      </c>
      <c r="BF27" s="1">
        <v>60</v>
      </c>
      <c r="BG27" s="1">
        <v>24</v>
      </c>
      <c r="BH27" s="1">
        <v>80</v>
      </c>
      <c r="BI27" s="1">
        <v>28</v>
      </c>
      <c r="BJ27" s="1">
        <v>93</v>
      </c>
      <c r="BK27" s="1">
        <v>50</v>
      </c>
      <c r="BL27" s="1">
        <v>78</v>
      </c>
      <c r="BM27" s="1">
        <v>176</v>
      </c>
      <c r="BN27" s="1">
        <v>90</v>
      </c>
      <c r="BO27" s="21">
        <f>(BM27/204)*100</f>
        <v>86.274509803921575</v>
      </c>
      <c r="BP27" s="1">
        <v>48</v>
      </c>
      <c r="BQ27" s="3">
        <v>92</v>
      </c>
      <c r="BR27" s="23" t="s">
        <v>133</v>
      </c>
      <c r="BS27" s="3">
        <v>4.2</v>
      </c>
      <c r="BT27" s="1">
        <v>15</v>
      </c>
      <c r="BU27" s="1">
        <v>37</v>
      </c>
      <c r="BV27" s="3">
        <v>2</v>
      </c>
      <c r="BW27" s="1">
        <v>37</v>
      </c>
      <c r="BX27" s="1">
        <v>93</v>
      </c>
      <c r="BY27" s="3">
        <v>4</v>
      </c>
      <c r="BZ27" s="23" t="s">
        <v>134</v>
      </c>
      <c r="CA27" s="23" t="s">
        <v>134</v>
      </c>
      <c r="CB27" s="33">
        <v>6</v>
      </c>
      <c r="CC27" s="34">
        <v>3.4285714285714287E-2</v>
      </c>
      <c r="CD27" s="3">
        <v>94</v>
      </c>
      <c r="CE27" s="3">
        <v>96</v>
      </c>
      <c r="CF27" s="3">
        <v>95</v>
      </c>
      <c r="CG27" s="1">
        <v>100</v>
      </c>
      <c r="CH27" s="1" t="s">
        <v>140</v>
      </c>
      <c r="CI27" s="3" t="s">
        <v>136</v>
      </c>
      <c r="CJ27" s="3" t="s">
        <v>136</v>
      </c>
      <c r="CK27" s="3" t="s">
        <v>136</v>
      </c>
      <c r="CL27" s="1"/>
      <c r="CM27" s="3" t="s">
        <v>168</v>
      </c>
      <c r="CN27" s="3" t="s">
        <v>136</v>
      </c>
      <c r="CO27" s="3" t="s">
        <v>136</v>
      </c>
      <c r="CP27" s="3" t="s">
        <v>136</v>
      </c>
      <c r="CQ27" s="3">
        <v>1</v>
      </c>
      <c r="CR27" s="1"/>
      <c r="CS27" s="1" t="s">
        <v>138</v>
      </c>
      <c r="CT27" s="1" t="s">
        <v>138</v>
      </c>
      <c r="CU27" s="1" t="s">
        <v>138</v>
      </c>
      <c r="CV27" s="1" t="s">
        <v>138</v>
      </c>
      <c r="CW27" s="1" t="s">
        <v>138</v>
      </c>
      <c r="DV27" s="3">
        <v>8.5999999999999993E-2</v>
      </c>
      <c r="DW27" s="26">
        <v>4.5999999999999999E-2</v>
      </c>
      <c r="DX27" s="26">
        <v>3.4000000000000002E-2</v>
      </c>
      <c r="DY27" s="26">
        <v>6.3E-2</v>
      </c>
      <c r="DZ27" s="26">
        <v>0.109</v>
      </c>
    </row>
    <row r="28" spans="1:192">
      <c r="A28" s="190">
        <v>20014</v>
      </c>
      <c r="B28" s="55" t="s">
        <v>150</v>
      </c>
      <c r="C28" s="109">
        <v>91.2</v>
      </c>
      <c r="D28" s="39">
        <v>9</v>
      </c>
      <c r="E28" s="109">
        <v>9</v>
      </c>
      <c r="F28" s="39">
        <v>18</v>
      </c>
      <c r="G28" s="109">
        <v>9.1999999999999993</v>
      </c>
      <c r="H28" s="39">
        <v>9.5</v>
      </c>
      <c r="I28" s="15">
        <v>8.9</v>
      </c>
      <c r="J28" s="39" t="s">
        <v>128</v>
      </c>
      <c r="K28" s="40">
        <v>2.6509999999999999E-2</v>
      </c>
      <c r="L28" s="40">
        <v>2.511E-2</v>
      </c>
      <c r="M28" s="40">
        <v>1.4E-2</v>
      </c>
      <c r="N28" s="40">
        <v>2.6509999999999999E-2</v>
      </c>
      <c r="O28" s="40">
        <v>2.511E-2</v>
      </c>
      <c r="P28" s="40">
        <v>1.4E-2</v>
      </c>
      <c r="Q28" s="40">
        <v>0.86499999999999999</v>
      </c>
      <c r="R28" s="40">
        <v>3.5000000000000003E-2</v>
      </c>
      <c r="S28" s="40">
        <v>1.7999999999999999E-2</v>
      </c>
      <c r="T28" s="40">
        <v>3.5000000000000003E-2</v>
      </c>
      <c r="U28" s="40">
        <v>4.7E-2</v>
      </c>
      <c r="V28" s="40">
        <v>0</v>
      </c>
      <c r="W28" s="41">
        <v>85</v>
      </c>
      <c r="X28" s="42">
        <v>0.84499999999999997</v>
      </c>
      <c r="Y28" s="43">
        <v>148</v>
      </c>
      <c r="Z28" s="42">
        <v>3.4000000000000002E-2</v>
      </c>
      <c r="AA28" s="42">
        <v>1.7000000000000001E-2</v>
      </c>
      <c r="AB28" s="42">
        <v>3.4000000000000002E-2</v>
      </c>
      <c r="AC28" s="42">
        <v>4.5999999999999999E-2</v>
      </c>
      <c r="AD28" s="40">
        <v>6.3E-2</v>
      </c>
      <c r="AE28" s="42">
        <v>0</v>
      </c>
      <c r="AF28" s="38" t="s">
        <v>167</v>
      </c>
      <c r="AG28" s="38" t="s">
        <v>130</v>
      </c>
      <c r="AH28" s="38" t="s">
        <v>146</v>
      </c>
      <c r="AI28" s="38">
        <v>19</v>
      </c>
      <c r="AJ28" s="38">
        <v>70</v>
      </c>
      <c r="AK28" s="38">
        <v>89</v>
      </c>
      <c r="AL28" s="39" t="s">
        <v>132</v>
      </c>
      <c r="AM28" s="39">
        <v>154</v>
      </c>
      <c r="AN28" s="38">
        <v>88</v>
      </c>
      <c r="AO28" s="39">
        <v>27</v>
      </c>
      <c r="AP28" s="2">
        <v>47</v>
      </c>
      <c r="AQ28" s="39">
        <v>36</v>
      </c>
      <c r="AR28" s="39">
        <v>90</v>
      </c>
      <c r="AS28" s="39">
        <v>39</v>
      </c>
      <c r="AT28" s="39">
        <v>98</v>
      </c>
      <c r="AU28" s="39">
        <v>71</v>
      </c>
      <c r="AV28" s="39">
        <v>89</v>
      </c>
      <c r="AW28" s="39">
        <v>70</v>
      </c>
      <c r="AX28" s="39">
        <v>88</v>
      </c>
      <c r="AY28" s="46">
        <f t="shared" si="3"/>
        <v>2.4015149121027006</v>
      </c>
      <c r="AZ28" s="31">
        <f t="shared" si="4"/>
        <v>2.3531634674084758</v>
      </c>
      <c r="BA28" s="39">
        <v>26</v>
      </c>
      <c r="BB28" s="39">
        <v>87</v>
      </c>
      <c r="BC28" s="39">
        <v>15</v>
      </c>
      <c r="BD28" s="39">
        <v>100</v>
      </c>
      <c r="BE28" s="39">
        <v>11</v>
      </c>
      <c r="BF28" s="39">
        <v>73</v>
      </c>
      <c r="BG28" s="39">
        <v>19</v>
      </c>
      <c r="BH28" s="39">
        <v>63</v>
      </c>
      <c r="BI28" s="39">
        <v>28</v>
      </c>
      <c r="BJ28" s="39">
        <v>93</v>
      </c>
      <c r="BK28" s="39">
        <v>51</v>
      </c>
      <c r="BL28" s="39">
        <v>80</v>
      </c>
      <c r="BM28" s="39">
        <v>184</v>
      </c>
      <c r="BN28" s="39">
        <v>97</v>
      </c>
      <c r="BO28" s="47">
        <f>(BM28/204)*100</f>
        <v>90.196078431372555</v>
      </c>
      <c r="BP28" s="39">
        <v>49</v>
      </c>
      <c r="BQ28" s="2">
        <v>94</v>
      </c>
      <c r="BR28" s="36" t="s">
        <v>139</v>
      </c>
      <c r="BS28" s="2">
        <v>4.0999999999999996</v>
      </c>
      <c r="BT28" s="39">
        <v>38</v>
      </c>
      <c r="BU28" s="39">
        <v>95</v>
      </c>
      <c r="BV28" s="2">
        <v>3</v>
      </c>
      <c r="BW28" s="39">
        <v>38</v>
      </c>
      <c r="BX28" s="39">
        <v>95</v>
      </c>
      <c r="BY28" s="2">
        <v>4</v>
      </c>
      <c r="BZ28" s="36" t="s">
        <v>134</v>
      </c>
      <c r="CA28" s="36" t="s">
        <v>134</v>
      </c>
      <c r="CB28" s="48">
        <v>6</v>
      </c>
      <c r="CC28" s="48">
        <v>3.4000000000000002E-2</v>
      </c>
      <c r="CD28" s="2">
        <v>98</v>
      </c>
      <c r="CE28" s="2">
        <v>98</v>
      </c>
      <c r="CF28" s="2">
        <v>98</v>
      </c>
      <c r="CG28" s="39"/>
      <c r="CH28" s="39" t="s">
        <v>140</v>
      </c>
      <c r="CI28" s="2" t="s">
        <v>136</v>
      </c>
      <c r="CJ28" s="2" t="s">
        <v>141</v>
      </c>
      <c r="CK28" s="2" t="s">
        <v>163</v>
      </c>
      <c r="CL28" s="39"/>
      <c r="CM28" s="2" t="s">
        <v>152</v>
      </c>
      <c r="CN28" s="2" t="s">
        <v>136</v>
      </c>
      <c r="CO28" s="2" t="s">
        <v>141</v>
      </c>
      <c r="CP28" s="2" t="s">
        <v>163</v>
      </c>
      <c r="CQ28" s="2"/>
      <c r="CR28" s="39"/>
      <c r="CS28" s="2" t="s">
        <v>140</v>
      </c>
      <c r="CT28" s="2" t="s">
        <v>140</v>
      </c>
      <c r="CU28" s="2">
        <v>100</v>
      </c>
      <c r="CV28" s="2">
        <v>100</v>
      </c>
      <c r="CW28" s="2">
        <v>100</v>
      </c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</row>
    <row r="29" spans="1:192" ht="60">
      <c r="A29" s="190">
        <v>20015</v>
      </c>
      <c r="B29" s="51" t="s">
        <v>166</v>
      </c>
      <c r="C29" s="3">
        <v>65.3</v>
      </c>
      <c r="D29" s="1">
        <v>7</v>
      </c>
      <c r="E29" s="3">
        <v>6</v>
      </c>
      <c r="F29" s="1">
        <v>13</v>
      </c>
      <c r="G29" s="3">
        <v>7.05</v>
      </c>
      <c r="H29" s="1">
        <v>6</v>
      </c>
      <c r="I29" s="15">
        <v>6.6</v>
      </c>
      <c r="J29" s="1" t="s">
        <v>145</v>
      </c>
      <c r="K29" s="27">
        <v>3.1980000000000001E-2</v>
      </c>
      <c r="L29" s="27">
        <v>1.044E-2</v>
      </c>
      <c r="M29" s="27">
        <v>3.1189999999999999E-2</v>
      </c>
      <c r="N29" s="27">
        <v>3.1980000000000001E-2</v>
      </c>
      <c r="O29" s="27">
        <v>1.044E-2</v>
      </c>
      <c r="P29" s="27">
        <v>3.1189999999999999E-2</v>
      </c>
      <c r="Q29" s="27">
        <v>0.52700000000000002</v>
      </c>
      <c r="R29" s="27">
        <v>1.7999999999999999E-2</v>
      </c>
      <c r="S29" s="27">
        <v>0.12</v>
      </c>
      <c r="T29" s="27">
        <v>6.0000000000000001E-3</v>
      </c>
      <c r="U29" s="27">
        <v>0.32900000000000001</v>
      </c>
      <c r="V29" s="27">
        <v>0</v>
      </c>
      <c r="W29" s="52">
        <v>50</v>
      </c>
      <c r="X29" s="27">
        <v>0.503</v>
      </c>
      <c r="Y29" s="52">
        <v>88</v>
      </c>
      <c r="Z29" s="27">
        <v>1.7000000000000001E-2</v>
      </c>
      <c r="AA29" s="27">
        <v>0.114</v>
      </c>
      <c r="AB29" s="27">
        <v>6.0000000000000001E-3</v>
      </c>
      <c r="AC29" s="27">
        <v>0.314</v>
      </c>
      <c r="AD29" s="27">
        <f>AC29+AA29</f>
        <v>0.42799999999999999</v>
      </c>
      <c r="AE29" s="27">
        <v>0</v>
      </c>
      <c r="AF29" s="1" t="s">
        <v>167</v>
      </c>
      <c r="AG29" s="3" t="s">
        <v>130</v>
      </c>
      <c r="AH29" s="3" t="s">
        <v>131</v>
      </c>
      <c r="AI29" s="3">
        <v>12</v>
      </c>
      <c r="AJ29" s="3">
        <v>53</v>
      </c>
      <c r="AK29" s="3">
        <v>15</v>
      </c>
      <c r="AL29" s="3" t="s">
        <v>132</v>
      </c>
      <c r="AM29" s="1">
        <v>113</v>
      </c>
      <c r="AN29" s="3">
        <v>65</v>
      </c>
      <c r="AO29" s="1">
        <v>17</v>
      </c>
      <c r="AP29" s="3">
        <v>28</v>
      </c>
      <c r="AQ29" s="1">
        <v>38</v>
      </c>
      <c r="AR29" s="3">
        <v>95</v>
      </c>
      <c r="AS29" s="1">
        <v>36</v>
      </c>
      <c r="AT29" s="3">
        <v>90</v>
      </c>
      <c r="AU29" s="1">
        <v>71</v>
      </c>
      <c r="AV29" s="3">
        <v>89</v>
      </c>
      <c r="AW29" s="1">
        <v>70</v>
      </c>
      <c r="AX29" s="3">
        <v>88</v>
      </c>
      <c r="AY29" s="30">
        <f t="shared" si="3"/>
        <v>2.4015149121027006</v>
      </c>
      <c r="AZ29" s="31">
        <f t="shared" si="4"/>
        <v>2.3531634674084758</v>
      </c>
      <c r="BA29" s="1">
        <v>24</v>
      </c>
      <c r="BB29" s="3">
        <v>80</v>
      </c>
      <c r="BC29" s="1">
        <v>13</v>
      </c>
      <c r="BD29" s="3">
        <v>87</v>
      </c>
      <c r="BE29" s="1">
        <v>11</v>
      </c>
      <c r="BF29" s="3">
        <v>73</v>
      </c>
      <c r="BG29" s="1">
        <v>28</v>
      </c>
      <c r="BH29" s="3">
        <v>93</v>
      </c>
      <c r="BI29" s="1">
        <v>30</v>
      </c>
      <c r="BJ29" s="3">
        <v>96</v>
      </c>
      <c r="BK29" s="1">
        <v>51</v>
      </c>
      <c r="BL29" s="3">
        <v>80</v>
      </c>
      <c r="BM29" s="1">
        <v>166</v>
      </c>
      <c r="BN29" s="3">
        <v>82</v>
      </c>
      <c r="BO29" s="21">
        <f>(BM29/204)*100</f>
        <v>81.372549019607845</v>
      </c>
      <c r="BP29" s="1">
        <v>47</v>
      </c>
      <c r="BQ29" s="3">
        <v>90</v>
      </c>
      <c r="BR29" s="3" t="s">
        <v>133</v>
      </c>
      <c r="BS29" s="3">
        <v>1.6</v>
      </c>
      <c r="BT29" s="1">
        <v>39</v>
      </c>
      <c r="BU29" s="3">
        <v>98</v>
      </c>
      <c r="BV29" s="3">
        <v>1.61</v>
      </c>
      <c r="BW29" s="1">
        <v>39</v>
      </c>
      <c r="BX29" s="3">
        <v>98</v>
      </c>
      <c r="BY29" s="3">
        <v>4.67</v>
      </c>
      <c r="BZ29" s="3" t="s">
        <v>170</v>
      </c>
      <c r="CA29" s="23" t="s">
        <v>147</v>
      </c>
      <c r="CB29" s="33">
        <v>29</v>
      </c>
      <c r="CC29" s="34">
        <v>0.1657142857142857</v>
      </c>
      <c r="CD29" s="3">
        <v>96</v>
      </c>
      <c r="CE29" s="3">
        <v>98</v>
      </c>
      <c r="CF29" s="3">
        <v>99</v>
      </c>
      <c r="CG29" s="1">
        <v>100</v>
      </c>
      <c r="CH29" s="5" t="s">
        <v>140</v>
      </c>
      <c r="CI29" s="3" t="s">
        <v>136</v>
      </c>
      <c r="CJ29" s="3" t="s">
        <v>136</v>
      </c>
      <c r="CK29" s="3" t="s">
        <v>136</v>
      </c>
      <c r="CL29" s="1"/>
      <c r="CM29" s="3" t="s">
        <v>137</v>
      </c>
      <c r="CN29" s="3" t="s">
        <v>136</v>
      </c>
      <c r="CO29" s="3" t="s">
        <v>136</v>
      </c>
      <c r="CP29" s="3" t="s">
        <v>136</v>
      </c>
      <c r="CQ29" s="3">
        <v>1</v>
      </c>
      <c r="CR29" s="1"/>
      <c r="CS29" s="1" t="s">
        <v>138</v>
      </c>
      <c r="CT29" s="1" t="s">
        <v>138</v>
      </c>
      <c r="CU29" s="1" t="s">
        <v>138</v>
      </c>
      <c r="CV29" s="1" t="s">
        <v>138</v>
      </c>
      <c r="CW29" s="1" t="s">
        <v>138</v>
      </c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</row>
    <row r="30" spans="1:192" ht="75">
      <c r="A30" s="190">
        <v>20015</v>
      </c>
      <c r="B30" s="55" t="s">
        <v>150</v>
      </c>
      <c r="C30" s="36">
        <v>85.6</v>
      </c>
      <c r="D30" s="39">
        <v>8</v>
      </c>
      <c r="E30" s="36">
        <v>8</v>
      </c>
      <c r="F30" s="39">
        <v>16</v>
      </c>
      <c r="G30" s="36">
        <v>9.1999999999999993</v>
      </c>
      <c r="H30" s="38">
        <v>8.1</v>
      </c>
      <c r="I30" s="15">
        <v>9.5</v>
      </c>
      <c r="J30" s="39" t="s">
        <v>128</v>
      </c>
      <c r="K30" s="40">
        <v>4.7350000000000003E-2</v>
      </c>
      <c r="L30" s="40">
        <v>1.3320000000000001E-3</v>
      </c>
      <c r="M30" s="40">
        <v>4.6800000000000001E-3</v>
      </c>
      <c r="N30" s="40">
        <v>4.7350000000000003E-2</v>
      </c>
      <c r="O30" s="40">
        <v>1.3320000000000001E-3</v>
      </c>
      <c r="P30" s="40">
        <v>4.6800000000000001E-3</v>
      </c>
      <c r="Q30" s="40">
        <v>0.81499999999999995</v>
      </c>
      <c r="R30" s="40">
        <v>1.2E-2</v>
      </c>
      <c r="S30" s="40">
        <v>2.3E-2</v>
      </c>
      <c r="T30" s="40">
        <v>6.0000000000000001E-3</v>
      </c>
      <c r="U30" s="40">
        <v>0.14499999999999999</v>
      </c>
      <c r="V30" s="40">
        <v>0</v>
      </c>
      <c r="W30" s="56">
        <v>80.5</v>
      </c>
      <c r="X30" s="40">
        <v>0.80600000000000005</v>
      </c>
      <c r="Y30" s="57">
        <v>141</v>
      </c>
      <c r="Z30" s="40">
        <v>1.0999999999999999E-2</v>
      </c>
      <c r="AA30" s="40">
        <v>2.3E-2</v>
      </c>
      <c r="AB30" s="40">
        <v>6.0000000000000001E-3</v>
      </c>
      <c r="AC30" s="40">
        <v>0.14299999999999999</v>
      </c>
      <c r="AD30" s="40">
        <v>0.16600000000000001</v>
      </c>
      <c r="AE30" s="40">
        <v>0</v>
      </c>
      <c r="AF30" s="38" t="s">
        <v>167</v>
      </c>
      <c r="AG30" s="38" t="s">
        <v>130</v>
      </c>
      <c r="AH30" s="36" t="s">
        <v>131</v>
      </c>
      <c r="AI30" s="36">
        <v>12</v>
      </c>
      <c r="AJ30" s="36">
        <v>58</v>
      </c>
      <c r="AK30" s="36">
        <v>79</v>
      </c>
      <c r="AL30" s="2" t="s">
        <v>132</v>
      </c>
      <c r="AM30" s="39">
        <v>147</v>
      </c>
      <c r="AN30" s="2">
        <v>84</v>
      </c>
      <c r="AO30" s="39">
        <v>21</v>
      </c>
      <c r="AP30" s="2">
        <v>35</v>
      </c>
      <c r="AQ30" s="39">
        <v>38</v>
      </c>
      <c r="AR30" s="2">
        <v>95</v>
      </c>
      <c r="AS30" s="39">
        <v>35</v>
      </c>
      <c r="AT30" s="2">
        <v>88</v>
      </c>
      <c r="AU30" s="39">
        <v>78</v>
      </c>
      <c r="AV30" s="2">
        <v>98</v>
      </c>
      <c r="AW30" s="39">
        <v>72</v>
      </c>
      <c r="AX30" s="2">
        <v>90</v>
      </c>
      <c r="AY30" s="46">
        <f t="shared" si="3"/>
        <v>3.3353004761764229</v>
      </c>
      <c r="AZ30" s="31">
        <f t="shared" si="4"/>
        <v>3.198266660902513</v>
      </c>
      <c r="BA30" s="39">
        <v>26</v>
      </c>
      <c r="BB30" s="2">
        <v>87</v>
      </c>
      <c r="BC30" s="39">
        <v>14</v>
      </c>
      <c r="BD30" s="2">
        <v>93</v>
      </c>
      <c r="BE30" s="39">
        <v>12</v>
      </c>
      <c r="BF30" s="2">
        <v>80</v>
      </c>
      <c r="BG30" s="39">
        <v>26</v>
      </c>
      <c r="BH30" s="2">
        <v>87</v>
      </c>
      <c r="BI30" s="39">
        <v>30</v>
      </c>
      <c r="BJ30" s="2">
        <v>100</v>
      </c>
      <c r="BK30" s="39">
        <v>54</v>
      </c>
      <c r="BL30" s="2">
        <v>84</v>
      </c>
      <c r="BM30" s="39">
        <v>179</v>
      </c>
      <c r="BN30" s="2">
        <v>90</v>
      </c>
      <c r="BO30" s="47">
        <v>88</v>
      </c>
      <c r="BP30" s="39">
        <v>51</v>
      </c>
      <c r="BQ30" s="2">
        <v>98</v>
      </c>
      <c r="BR30" s="2" t="s">
        <v>139</v>
      </c>
      <c r="BS30" s="2">
        <v>4</v>
      </c>
      <c r="BT30" s="39">
        <v>37</v>
      </c>
      <c r="BU30" s="2">
        <v>93</v>
      </c>
      <c r="BV30" s="2">
        <v>2.46</v>
      </c>
      <c r="BW30" s="39">
        <v>39</v>
      </c>
      <c r="BX30" s="2">
        <v>98</v>
      </c>
      <c r="BY30" s="2">
        <v>5</v>
      </c>
      <c r="BZ30" s="2" t="s">
        <v>134</v>
      </c>
      <c r="CA30" s="2" t="s">
        <v>134</v>
      </c>
      <c r="CB30" s="48">
        <v>29</v>
      </c>
      <c r="CC30" s="48">
        <v>0.16600000000000001</v>
      </c>
      <c r="CD30" s="2">
        <v>99</v>
      </c>
      <c r="CE30" s="2">
        <v>100</v>
      </c>
      <c r="CF30" s="2">
        <v>99</v>
      </c>
      <c r="CG30" s="39">
        <v>50</v>
      </c>
      <c r="CH30" s="6" t="s">
        <v>140</v>
      </c>
      <c r="CI30" s="2" t="s">
        <v>136</v>
      </c>
      <c r="CJ30" s="101" t="s">
        <v>191</v>
      </c>
      <c r="CK30" s="82" t="s">
        <v>163</v>
      </c>
      <c r="CL30" s="39"/>
      <c r="CM30" s="2" t="s">
        <v>152</v>
      </c>
      <c r="CN30" s="2" t="s">
        <v>136</v>
      </c>
      <c r="CO30" s="101" t="s">
        <v>191</v>
      </c>
      <c r="CP30" s="82" t="s">
        <v>163</v>
      </c>
      <c r="CQ30" s="82"/>
      <c r="CR30" s="39" t="s">
        <v>202</v>
      </c>
      <c r="CS30" s="2" t="s">
        <v>140</v>
      </c>
      <c r="CT30" s="2" t="s">
        <v>140</v>
      </c>
      <c r="CU30" s="2">
        <v>100</v>
      </c>
      <c r="CV30" s="2">
        <v>100</v>
      </c>
      <c r="CW30" s="2">
        <v>100</v>
      </c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</row>
    <row r="31" spans="1:192" s="2" customFormat="1" ht="60">
      <c r="A31" s="190">
        <v>20016</v>
      </c>
      <c r="B31" s="23" t="s">
        <v>166</v>
      </c>
      <c r="C31" s="1">
        <v>92.4</v>
      </c>
      <c r="D31" s="1">
        <v>9</v>
      </c>
      <c r="E31" s="1">
        <v>9</v>
      </c>
      <c r="F31" s="1">
        <v>18</v>
      </c>
      <c r="G31" s="1">
        <v>8.9</v>
      </c>
      <c r="H31" s="1">
        <v>9.6</v>
      </c>
      <c r="I31" s="15">
        <v>9.6999999999999993</v>
      </c>
      <c r="J31" s="1" t="s">
        <v>128</v>
      </c>
      <c r="K31" s="26">
        <v>5.6009999999999997E-2</v>
      </c>
      <c r="L31" s="26">
        <v>1.925E-2</v>
      </c>
      <c r="M31" s="26">
        <v>9.8399999999999998E-3</v>
      </c>
      <c r="N31" s="27">
        <v>5.6009999999999997E-2</v>
      </c>
      <c r="O31" s="27">
        <v>1.925E-2</v>
      </c>
      <c r="P31" s="27">
        <v>9.8399999999999998E-3</v>
      </c>
      <c r="Q31" s="27">
        <v>0.96499999999999997</v>
      </c>
      <c r="R31" s="27">
        <v>6.0000000000000001E-3</v>
      </c>
      <c r="S31" s="27">
        <v>0</v>
      </c>
      <c r="T31" s="27">
        <v>6.0000000000000001E-3</v>
      </c>
      <c r="U31" s="27">
        <v>2.3E-2</v>
      </c>
      <c r="V31" s="27">
        <v>0</v>
      </c>
      <c r="W31" s="28">
        <v>94</v>
      </c>
      <c r="X31" s="27">
        <v>0.94299999999999995</v>
      </c>
      <c r="Y31" s="28">
        <v>165</v>
      </c>
      <c r="Z31" s="18">
        <v>6.0000000000000001E-3</v>
      </c>
      <c r="AA31" s="18">
        <v>0</v>
      </c>
      <c r="AB31" s="18">
        <v>6.0000000000000001E-3</v>
      </c>
      <c r="AC31" s="18">
        <v>2.3E-2</v>
      </c>
      <c r="AD31" s="27">
        <f>AC31+AA31</f>
        <v>2.3E-2</v>
      </c>
      <c r="AE31" s="18">
        <v>0</v>
      </c>
      <c r="AF31" s="1" t="s">
        <v>167</v>
      </c>
      <c r="AG31" s="1" t="s">
        <v>130</v>
      </c>
      <c r="AH31" s="1" t="s">
        <v>131</v>
      </c>
      <c r="AI31" s="1">
        <v>16</v>
      </c>
      <c r="AJ31" s="1">
        <v>58</v>
      </c>
      <c r="AK31" s="1">
        <v>26</v>
      </c>
      <c r="AL31" s="1" t="s">
        <v>132</v>
      </c>
      <c r="AM31" s="1">
        <v>170</v>
      </c>
      <c r="AN31" s="1">
        <v>97</v>
      </c>
      <c r="AO31" s="1">
        <v>51</v>
      </c>
      <c r="AP31" s="3">
        <v>85</v>
      </c>
      <c r="AQ31" s="1">
        <v>40</v>
      </c>
      <c r="AR31" s="1">
        <v>100</v>
      </c>
      <c r="AS31" s="1">
        <v>34</v>
      </c>
      <c r="AT31" s="1">
        <v>85</v>
      </c>
      <c r="AU31" s="1">
        <v>76</v>
      </c>
      <c r="AV31" s="1">
        <v>95</v>
      </c>
      <c r="AW31" s="1">
        <v>71</v>
      </c>
      <c r="AX31" s="1">
        <v>89</v>
      </c>
      <c r="AY31" s="30">
        <f t="shared" si="3"/>
        <v>2.871381746988082</v>
      </c>
      <c r="AZ31" s="31">
        <f t="shared" si="4"/>
        <v>2.7945322819533756</v>
      </c>
      <c r="BA31" s="1">
        <v>27</v>
      </c>
      <c r="BB31" s="1">
        <v>90</v>
      </c>
      <c r="BC31" s="1">
        <v>15</v>
      </c>
      <c r="BD31" s="1">
        <v>100</v>
      </c>
      <c r="BE31" s="1">
        <v>12</v>
      </c>
      <c r="BF31" s="1">
        <v>80</v>
      </c>
      <c r="BG31" s="1">
        <v>26</v>
      </c>
      <c r="BH31" s="1">
        <v>86</v>
      </c>
      <c r="BI31" s="1">
        <v>30</v>
      </c>
      <c r="BJ31" s="1">
        <v>96</v>
      </c>
      <c r="BK31" s="1">
        <v>60</v>
      </c>
      <c r="BL31" s="3">
        <v>94</v>
      </c>
      <c r="BM31" s="1">
        <v>188</v>
      </c>
      <c r="BN31" s="3">
        <v>99</v>
      </c>
      <c r="BO31" s="21">
        <f>(BM31/204)*100</f>
        <v>92.156862745098039</v>
      </c>
      <c r="BP31" s="1">
        <v>48</v>
      </c>
      <c r="BQ31" s="3">
        <v>92</v>
      </c>
      <c r="BR31" s="23" t="s">
        <v>185</v>
      </c>
      <c r="BS31" s="3">
        <v>3.4</v>
      </c>
      <c r="BT31" s="1">
        <v>38</v>
      </c>
      <c r="BU31" s="3">
        <v>95</v>
      </c>
      <c r="BV31" s="3">
        <v>4</v>
      </c>
      <c r="BW31" s="1">
        <v>39</v>
      </c>
      <c r="BX31" s="3">
        <v>98</v>
      </c>
      <c r="BY31" s="3">
        <v>3.24</v>
      </c>
      <c r="BZ31" s="23" t="s">
        <v>170</v>
      </c>
      <c r="CA31" s="23" t="s">
        <v>170</v>
      </c>
      <c r="CB31" s="33">
        <v>6</v>
      </c>
      <c r="CC31" s="34">
        <v>3.4285714285714287E-2</v>
      </c>
      <c r="CD31" s="3">
        <v>99</v>
      </c>
      <c r="CE31" s="3">
        <v>99</v>
      </c>
      <c r="CF31" s="3">
        <v>99</v>
      </c>
      <c r="CG31" s="1">
        <v>100</v>
      </c>
      <c r="CH31" s="1" t="s">
        <v>140</v>
      </c>
      <c r="CI31" s="3" t="s">
        <v>136</v>
      </c>
      <c r="CJ31" s="3" t="s">
        <v>136</v>
      </c>
      <c r="CK31" s="3" t="s">
        <v>136</v>
      </c>
      <c r="CL31" s="3"/>
      <c r="CM31" s="3" t="s">
        <v>143</v>
      </c>
      <c r="CN31" s="3" t="s">
        <v>188</v>
      </c>
      <c r="CO31" s="13"/>
      <c r="CP31" s="13"/>
      <c r="CQ31" s="13"/>
      <c r="CR31" s="1" t="s">
        <v>138</v>
      </c>
      <c r="CS31" s="1" t="s">
        <v>138</v>
      </c>
      <c r="CT31" s="1" t="s">
        <v>138</v>
      </c>
      <c r="CU31" s="1" t="s">
        <v>138</v>
      </c>
      <c r="CV31" s="1" t="s">
        <v>138</v>
      </c>
      <c r="CW31" s="1" t="s">
        <v>138</v>
      </c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5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</row>
    <row r="32" spans="1:192" s="13" customFormat="1" ht="60">
      <c r="A32" s="190">
        <v>20017</v>
      </c>
      <c r="B32" s="23" t="s">
        <v>166</v>
      </c>
      <c r="C32" s="1">
        <v>87.1</v>
      </c>
      <c r="D32" s="1">
        <v>9</v>
      </c>
      <c r="E32" s="1">
        <v>9</v>
      </c>
      <c r="F32" s="1">
        <v>18</v>
      </c>
      <c r="G32" s="1">
        <v>7.85</v>
      </c>
      <c r="H32" s="1">
        <v>9.3000000000000007</v>
      </c>
      <c r="I32" s="15">
        <v>8.4</v>
      </c>
      <c r="J32" s="1" t="s">
        <v>128</v>
      </c>
      <c r="K32" s="26">
        <v>9.8879999999999996E-2</v>
      </c>
      <c r="L32" s="26">
        <v>8.8400000000000006E-3</v>
      </c>
      <c r="M32" s="26">
        <v>8.3199999999999993E-3</v>
      </c>
      <c r="N32" s="74">
        <v>0.03</v>
      </c>
      <c r="O32" s="74">
        <v>2.4E-2</v>
      </c>
      <c r="P32" s="74">
        <v>0.01</v>
      </c>
      <c r="Q32" s="27">
        <v>0.88300000000000001</v>
      </c>
      <c r="R32" s="27" t="s">
        <v>203</v>
      </c>
      <c r="S32" s="27">
        <v>0</v>
      </c>
      <c r="T32" s="27">
        <v>2.3E-2</v>
      </c>
      <c r="U32" s="27">
        <v>4.7E-2</v>
      </c>
      <c r="V32" s="27">
        <v>0</v>
      </c>
      <c r="W32" s="28">
        <v>86</v>
      </c>
      <c r="X32" s="27">
        <v>0.86285714285714288</v>
      </c>
      <c r="Y32" s="110">
        <v>151</v>
      </c>
      <c r="Z32" s="18">
        <v>4.5999999999999999E-2</v>
      </c>
      <c r="AA32" s="18">
        <v>0</v>
      </c>
      <c r="AB32" s="18">
        <v>2.3E-2</v>
      </c>
      <c r="AC32" s="18">
        <v>4.5999999999999999E-2</v>
      </c>
      <c r="AD32" s="27">
        <f>AC32+AA32</f>
        <v>4.5999999999999999E-2</v>
      </c>
      <c r="AE32" s="18">
        <v>0</v>
      </c>
      <c r="AF32" s="1" t="s">
        <v>129</v>
      </c>
      <c r="AG32" s="1" t="s">
        <v>130</v>
      </c>
      <c r="AH32" s="1" t="s">
        <v>131</v>
      </c>
      <c r="AI32" s="1">
        <v>17</v>
      </c>
      <c r="AJ32" s="1">
        <v>53</v>
      </c>
      <c r="AK32" s="1">
        <f>(12*7)+11</f>
        <v>95</v>
      </c>
      <c r="AL32" s="1" t="s">
        <v>132</v>
      </c>
      <c r="AM32" s="1">
        <v>166</v>
      </c>
      <c r="AN32" s="1">
        <v>95</v>
      </c>
      <c r="AO32" s="1">
        <v>52</v>
      </c>
      <c r="AP32" s="3">
        <v>87</v>
      </c>
      <c r="AQ32" s="1">
        <v>40</v>
      </c>
      <c r="AR32" s="1">
        <v>100</v>
      </c>
      <c r="AS32" s="1">
        <v>36</v>
      </c>
      <c r="AT32" s="1">
        <v>90</v>
      </c>
      <c r="AU32" s="1">
        <v>70</v>
      </c>
      <c r="AV32" s="1">
        <v>88</v>
      </c>
      <c r="AW32" s="1">
        <v>72</v>
      </c>
      <c r="AX32" s="1">
        <v>90</v>
      </c>
      <c r="AY32" s="30">
        <f t="shared" si="3"/>
        <v>2.4565383576106909</v>
      </c>
      <c r="AZ32" s="31">
        <f t="shared" si="4"/>
        <v>2.4057549876518589</v>
      </c>
      <c r="BA32" s="1">
        <v>24</v>
      </c>
      <c r="BB32" s="1">
        <v>80</v>
      </c>
      <c r="BC32" s="1">
        <v>14</v>
      </c>
      <c r="BD32" s="1">
        <v>93</v>
      </c>
      <c r="BE32" s="1">
        <v>10</v>
      </c>
      <c r="BF32" s="1">
        <v>67</v>
      </c>
      <c r="BG32" s="1">
        <v>19</v>
      </c>
      <c r="BH32" s="1">
        <v>63</v>
      </c>
      <c r="BI32" s="1">
        <v>30</v>
      </c>
      <c r="BJ32" s="1">
        <v>100</v>
      </c>
      <c r="BK32" s="1">
        <v>51</v>
      </c>
      <c r="BL32" s="3">
        <v>80</v>
      </c>
      <c r="BM32" s="1">
        <v>169</v>
      </c>
      <c r="BN32" s="3">
        <v>84</v>
      </c>
      <c r="BO32" s="21">
        <f>(BM32/204)*100</f>
        <v>82.843137254901961</v>
      </c>
      <c r="BP32" s="1">
        <v>46</v>
      </c>
      <c r="BQ32" s="3">
        <v>88</v>
      </c>
      <c r="BR32" s="23" t="s">
        <v>133</v>
      </c>
      <c r="BS32" s="3">
        <v>2.4</v>
      </c>
      <c r="BT32" s="1">
        <v>36</v>
      </c>
      <c r="BU32" s="3">
        <v>90</v>
      </c>
      <c r="BV32" s="3">
        <v>2.29</v>
      </c>
      <c r="BW32" s="1">
        <v>39</v>
      </c>
      <c r="BX32" s="3">
        <v>98</v>
      </c>
      <c r="BY32" s="3">
        <v>4.3</v>
      </c>
      <c r="BZ32" s="23" t="s">
        <v>134</v>
      </c>
      <c r="CA32" s="111" t="s">
        <v>204</v>
      </c>
      <c r="CB32" s="33">
        <v>0</v>
      </c>
      <c r="CC32" s="34">
        <v>0</v>
      </c>
      <c r="CD32" s="112">
        <v>95</v>
      </c>
      <c r="CE32" s="3">
        <v>95</v>
      </c>
      <c r="CF32" s="3">
        <v>100</v>
      </c>
      <c r="CG32" s="1">
        <v>90</v>
      </c>
      <c r="CH32" s="1" t="s">
        <v>140</v>
      </c>
      <c r="CI32" s="3" t="s">
        <v>136</v>
      </c>
      <c r="CJ32" s="3" t="s">
        <v>136</v>
      </c>
      <c r="CK32" s="3" t="s">
        <v>136</v>
      </c>
      <c r="CL32" s="1"/>
      <c r="CM32" s="3" t="s">
        <v>205</v>
      </c>
      <c r="CN32" s="3" t="s">
        <v>136</v>
      </c>
      <c r="CO32" s="3" t="s">
        <v>136</v>
      </c>
      <c r="CP32" s="3" t="s">
        <v>136</v>
      </c>
      <c r="CQ32" s="3">
        <v>1</v>
      </c>
      <c r="CR32" s="1"/>
      <c r="CS32" s="1" t="s">
        <v>138</v>
      </c>
      <c r="CT32" s="1" t="s">
        <v>138</v>
      </c>
      <c r="CU32" s="1" t="s">
        <v>138</v>
      </c>
      <c r="CV32" s="1" t="s">
        <v>138</v>
      </c>
      <c r="CW32" s="1" t="s">
        <v>138</v>
      </c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5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</row>
    <row r="33" spans="1:192" s="10" customFormat="1" ht="15" customHeight="1">
      <c r="A33" s="190">
        <v>20017</v>
      </c>
      <c r="B33" s="83" t="s">
        <v>150</v>
      </c>
      <c r="C33" s="87">
        <v>87.1</v>
      </c>
      <c r="D33" s="87">
        <v>9</v>
      </c>
      <c r="E33" s="87">
        <v>9</v>
      </c>
      <c r="F33" s="87">
        <v>18</v>
      </c>
      <c r="G33" s="87">
        <v>7.85</v>
      </c>
      <c r="H33" s="87">
        <v>9.3000000000000007</v>
      </c>
      <c r="I33" s="15">
        <v>8.4</v>
      </c>
      <c r="J33" s="87" t="s">
        <v>128</v>
      </c>
      <c r="K33" s="113">
        <v>9.8879999999999996E-2</v>
      </c>
      <c r="L33" s="113">
        <v>8.8400000000000006E-3</v>
      </c>
      <c r="M33" s="113">
        <v>8.3199999999999993E-3</v>
      </c>
      <c r="N33" s="84">
        <v>0.03</v>
      </c>
      <c r="O33" s="84">
        <v>2.4E-2</v>
      </c>
      <c r="P33" s="84">
        <v>0.01</v>
      </c>
      <c r="Q33" s="84">
        <v>0.88300000000000001</v>
      </c>
      <c r="R33" s="84" t="s">
        <v>203</v>
      </c>
      <c r="S33" s="84">
        <v>0</v>
      </c>
      <c r="T33" s="84">
        <v>2.3E-2</v>
      </c>
      <c r="U33" s="84">
        <v>4.7E-2</v>
      </c>
      <c r="V33" s="84">
        <v>0</v>
      </c>
      <c r="W33" s="114">
        <v>86</v>
      </c>
      <c r="X33" s="84">
        <v>0.86285714285714288</v>
      </c>
      <c r="Y33" s="115">
        <v>151</v>
      </c>
      <c r="Z33" s="116">
        <v>4.5999999999999999E-2</v>
      </c>
      <c r="AA33" s="116">
        <v>0</v>
      </c>
      <c r="AB33" s="116">
        <v>2.3E-2</v>
      </c>
      <c r="AC33" s="116">
        <v>4.5999999999999999E-2</v>
      </c>
      <c r="AD33" s="84">
        <f>AC33+AA33</f>
        <v>4.5999999999999999E-2</v>
      </c>
      <c r="AE33" s="116">
        <v>0</v>
      </c>
      <c r="AF33" s="87" t="s">
        <v>129</v>
      </c>
      <c r="AG33" s="87" t="s">
        <v>130</v>
      </c>
      <c r="AH33" s="87" t="s">
        <v>131</v>
      </c>
      <c r="AI33" s="87">
        <v>17</v>
      </c>
      <c r="AJ33" s="87">
        <v>53</v>
      </c>
      <c r="AK33" s="87">
        <f>(12*7)+11</f>
        <v>95</v>
      </c>
      <c r="AL33" s="87" t="s">
        <v>132</v>
      </c>
      <c r="AM33" s="87">
        <v>166</v>
      </c>
      <c r="AN33" s="87">
        <v>95</v>
      </c>
      <c r="AO33" s="87">
        <v>52</v>
      </c>
      <c r="AP33" s="54">
        <v>87</v>
      </c>
      <c r="AQ33" s="87">
        <v>40</v>
      </c>
      <c r="AR33" s="87">
        <v>100</v>
      </c>
      <c r="AS33" s="87">
        <v>36</v>
      </c>
      <c r="AT33" s="87">
        <v>90</v>
      </c>
      <c r="AU33" s="87">
        <v>70</v>
      </c>
      <c r="AV33" s="87">
        <v>88</v>
      </c>
      <c r="AW33" s="87">
        <v>72</v>
      </c>
      <c r="AX33" s="87">
        <v>90</v>
      </c>
      <c r="AY33" s="86">
        <f t="shared" si="3"/>
        <v>2.4565383576106909</v>
      </c>
      <c r="AZ33" s="31">
        <f t="shared" si="4"/>
        <v>2.4057549876518589</v>
      </c>
      <c r="BA33" s="87">
        <v>24</v>
      </c>
      <c r="BB33" s="87">
        <v>80</v>
      </c>
      <c r="BC33" s="87">
        <v>14</v>
      </c>
      <c r="BD33" s="87">
        <v>93</v>
      </c>
      <c r="BE33" s="87">
        <v>10</v>
      </c>
      <c r="BF33" s="87">
        <v>67</v>
      </c>
      <c r="BG33" s="87">
        <v>19</v>
      </c>
      <c r="BH33" s="87">
        <v>63</v>
      </c>
      <c r="BI33" s="87">
        <v>30</v>
      </c>
      <c r="BJ33" s="87">
        <v>100</v>
      </c>
      <c r="BK33" s="87">
        <v>51</v>
      </c>
      <c r="BL33" s="54">
        <v>80</v>
      </c>
      <c r="BM33" s="87">
        <v>169</v>
      </c>
      <c r="BN33" s="54">
        <v>84</v>
      </c>
      <c r="BO33" s="88">
        <f>(BM33/204)*100</f>
        <v>82.843137254901961</v>
      </c>
      <c r="BP33" s="87">
        <v>46</v>
      </c>
      <c r="BQ33" s="54">
        <v>88</v>
      </c>
      <c r="BR33" s="90" t="s">
        <v>133</v>
      </c>
      <c r="BS33" s="54">
        <v>2.4</v>
      </c>
      <c r="BT33" s="87">
        <v>36</v>
      </c>
      <c r="BU33" s="54">
        <v>90</v>
      </c>
      <c r="BV33" s="54">
        <v>2.29</v>
      </c>
      <c r="BW33" s="87">
        <v>39</v>
      </c>
      <c r="BX33" s="54">
        <v>98</v>
      </c>
      <c r="BY33" s="54">
        <v>4.3</v>
      </c>
      <c r="BZ33" s="90" t="s">
        <v>134</v>
      </c>
      <c r="CA33" s="117" t="s">
        <v>204</v>
      </c>
      <c r="CB33" s="91">
        <v>0</v>
      </c>
      <c r="CC33" s="91">
        <v>0</v>
      </c>
      <c r="CD33" s="118">
        <v>95</v>
      </c>
      <c r="CE33" s="54">
        <v>95</v>
      </c>
      <c r="CF33" s="54">
        <v>100</v>
      </c>
      <c r="CG33" s="87">
        <v>90</v>
      </c>
      <c r="CH33" s="87" t="s">
        <v>140</v>
      </c>
      <c r="CI33" s="54" t="s">
        <v>136</v>
      </c>
      <c r="CJ33" s="54" t="s">
        <v>136</v>
      </c>
      <c r="CK33" s="54" t="s">
        <v>136</v>
      </c>
      <c r="CL33" s="87"/>
      <c r="CM33" s="54" t="s">
        <v>205</v>
      </c>
      <c r="CN33" s="54" t="s">
        <v>136</v>
      </c>
      <c r="CO33" s="54" t="s">
        <v>136</v>
      </c>
      <c r="CP33" s="54" t="s">
        <v>136</v>
      </c>
      <c r="CQ33" s="54">
        <v>1</v>
      </c>
      <c r="CR33" s="87"/>
      <c r="CS33" s="92" t="s">
        <v>206</v>
      </c>
      <c r="CT33" s="92" t="s">
        <v>206</v>
      </c>
      <c r="CU33" s="54" t="s">
        <v>207</v>
      </c>
      <c r="CV33" s="54" t="s">
        <v>207</v>
      </c>
      <c r="CW33" s="54" t="s">
        <v>207</v>
      </c>
      <c r="CX33" s="54" t="s">
        <v>208</v>
      </c>
      <c r="CY33" s="54"/>
      <c r="CZ33" s="54"/>
      <c r="DA33" s="54"/>
      <c r="DB33" s="54"/>
      <c r="DC33" s="54"/>
      <c r="DD33" s="54"/>
      <c r="DE33" s="54"/>
      <c r="DF33" s="54"/>
      <c r="DG33" s="54"/>
      <c r="DH33" s="54"/>
      <c r="DI33" s="54"/>
      <c r="DJ33" s="35"/>
      <c r="DK33" s="54"/>
      <c r="DL33" s="54"/>
      <c r="DM33" s="54"/>
      <c r="DN33" s="54"/>
      <c r="DO33" s="54"/>
      <c r="DP33" s="54"/>
      <c r="DQ33" s="54"/>
      <c r="DR33" s="54"/>
      <c r="DS33" s="54"/>
      <c r="DT33" s="54"/>
      <c r="DU33" s="54"/>
      <c r="DV33" s="54"/>
      <c r="DW33" s="54"/>
      <c r="DX33" s="54"/>
      <c r="DY33" s="54"/>
      <c r="DZ33" s="54"/>
      <c r="EA33" s="54"/>
      <c r="EB33" s="54"/>
      <c r="EC33" s="54"/>
      <c r="ED33" s="54"/>
      <c r="EE33" s="54"/>
      <c r="EF33" s="54"/>
      <c r="EG33" s="54"/>
      <c r="EH33" s="54"/>
      <c r="EI33" s="54"/>
      <c r="EJ33" s="54"/>
      <c r="EK33" s="54"/>
      <c r="EL33" s="54"/>
      <c r="EM33" s="54"/>
      <c r="EN33" s="54"/>
      <c r="EO33" s="54"/>
      <c r="EP33" s="54"/>
      <c r="EQ33" s="54"/>
      <c r="ER33" s="54"/>
      <c r="ES33" s="54"/>
      <c r="ET33" s="54"/>
      <c r="EU33" s="54"/>
      <c r="EV33" s="54"/>
      <c r="EW33" s="54"/>
      <c r="EX33" s="54"/>
      <c r="EY33" s="54"/>
      <c r="EZ33" s="54"/>
      <c r="FA33" s="54"/>
      <c r="FB33" s="54"/>
      <c r="FC33" s="54"/>
      <c r="FD33" s="54"/>
      <c r="FE33" s="54"/>
      <c r="FF33" s="54"/>
      <c r="FG33" s="54"/>
      <c r="FH33" s="54"/>
      <c r="FI33" s="54"/>
      <c r="FJ33" s="54"/>
      <c r="FK33" s="54"/>
      <c r="FL33" s="54"/>
      <c r="FM33" s="54"/>
      <c r="FN33" s="54"/>
      <c r="FO33" s="54"/>
      <c r="FP33" s="54"/>
      <c r="FQ33" s="54"/>
      <c r="FR33" s="54"/>
      <c r="FS33" s="54"/>
      <c r="FT33" s="54"/>
      <c r="FU33" s="54"/>
      <c r="FV33" s="54"/>
      <c r="FW33" s="54"/>
      <c r="FX33" s="54"/>
      <c r="FY33" s="54"/>
      <c r="FZ33" s="54"/>
      <c r="GA33" s="54"/>
      <c r="GB33" s="54"/>
      <c r="GC33" s="54"/>
      <c r="GD33" s="54"/>
      <c r="GE33" s="54"/>
      <c r="GF33" s="54"/>
      <c r="GG33" s="54"/>
      <c r="GH33" s="54"/>
      <c r="GI33" s="54"/>
      <c r="GJ33" s="54"/>
    </row>
    <row r="34" spans="1:192" s="2" customFormat="1">
      <c r="A34" s="190">
        <v>20017</v>
      </c>
      <c r="B34" s="8"/>
      <c r="C34" s="8">
        <v>87.1</v>
      </c>
      <c r="D34" s="8">
        <v>9</v>
      </c>
      <c r="E34" s="8">
        <v>9</v>
      </c>
      <c r="F34" s="8">
        <v>18</v>
      </c>
      <c r="G34" s="8">
        <v>7.85</v>
      </c>
      <c r="H34" s="8">
        <v>9.3000000000000007</v>
      </c>
      <c r="I34" s="79">
        <v>8.4</v>
      </c>
      <c r="J34" s="8" t="s">
        <v>128</v>
      </c>
      <c r="K34" s="77">
        <v>2.4230000000000002E-2</v>
      </c>
      <c r="L34" s="77">
        <v>1.917E-2</v>
      </c>
      <c r="M34" s="77">
        <v>2.1770000000000001E-2</v>
      </c>
      <c r="N34" s="119">
        <v>2.4230000000000002E-2</v>
      </c>
      <c r="O34" s="119">
        <v>1.917E-2</v>
      </c>
      <c r="P34" s="119">
        <v>2.1770000000000001E-2</v>
      </c>
      <c r="Q34" s="119">
        <v>0.68899999999999995</v>
      </c>
      <c r="R34" s="119">
        <v>8.5999999999999993E-2</v>
      </c>
      <c r="S34" s="119">
        <v>0.02</v>
      </c>
      <c r="T34" s="119">
        <v>0.04</v>
      </c>
      <c r="U34" s="119">
        <v>0.159</v>
      </c>
      <c r="V34" s="119">
        <v>7.0000000000000001E-3</v>
      </c>
      <c r="W34" s="120">
        <v>59</v>
      </c>
      <c r="X34" s="119">
        <v>0.59399999999999997</v>
      </c>
      <c r="Y34" s="120">
        <v>104</v>
      </c>
      <c r="Z34" s="119">
        <v>7.3999999999999996E-2</v>
      </c>
      <c r="AA34" s="119">
        <v>1.7000000000000001E-2</v>
      </c>
      <c r="AB34" s="119">
        <v>3.4000000000000002E-2</v>
      </c>
      <c r="AC34" s="119">
        <v>0.13700000000000001</v>
      </c>
      <c r="AD34" s="119">
        <v>0.154</v>
      </c>
      <c r="AE34" s="119">
        <v>6.0000000000000001E-3</v>
      </c>
      <c r="AF34" s="12" t="s">
        <v>129</v>
      </c>
      <c r="AG34" s="12" t="s">
        <v>130</v>
      </c>
      <c r="AH34" s="12" t="s">
        <v>131</v>
      </c>
      <c r="AI34" s="12">
        <v>17</v>
      </c>
      <c r="AJ34" s="12">
        <v>61</v>
      </c>
      <c r="AK34" s="12">
        <v>186</v>
      </c>
      <c r="AL34" s="12" t="s">
        <v>132</v>
      </c>
      <c r="AM34" s="8" t="s">
        <v>165</v>
      </c>
      <c r="AN34" s="8" t="s">
        <v>165</v>
      </c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>
        <v>2.2000000000000002</v>
      </c>
      <c r="BT34" s="121">
        <v>32</v>
      </c>
      <c r="BU34" s="8">
        <v>80</v>
      </c>
      <c r="BV34" s="8">
        <v>2</v>
      </c>
      <c r="BW34" s="8">
        <v>39</v>
      </c>
      <c r="BX34" s="8">
        <v>98</v>
      </c>
      <c r="BY34" s="8">
        <v>3</v>
      </c>
      <c r="BZ34" s="8"/>
      <c r="CA34" s="8"/>
      <c r="CB34" s="78" t="s">
        <v>165</v>
      </c>
      <c r="CC34" s="78" t="s">
        <v>165</v>
      </c>
      <c r="CD34" s="8"/>
      <c r="CE34" s="8"/>
      <c r="CF34" s="8"/>
      <c r="CG34" s="8"/>
      <c r="CH34" s="8"/>
      <c r="CI34" s="8"/>
      <c r="CJ34" s="8"/>
      <c r="CK34" s="8"/>
      <c r="CL34" s="8"/>
      <c r="CM34" s="8" t="s">
        <v>209</v>
      </c>
      <c r="CN34" s="8"/>
      <c r="CO34" s="8"/>
      <c r="CP34" s="8"/>
      <c r="CQ34" s="8"/>
      <c r="CR34" s="8"/>
      <c r="CS34" s="8"/>
      <c r="CT34" s="8"/>
      <c r="CU34" s="8">
        <v>100</v>
      </c>
      <c r="CV34" s="8">
        <v>90</v>
      </c>
      <c r="CW34" s="8">
        <v>95</v>
      </c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79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</row>
    <row r="35" spans="1:192" ht="60">
      <c r="A35" s="190">
        <v>20018</v>
      </c>
      <c r="B35" s="23" t="s">
        <v>166</v>
      </c>
      <c r="C35" s="1">
        <v>95.2</v>
      </c>
      <c r="D35" s="1">
        <v>9</v>
      </c>
      <c r="E35" s="1">
        <v>9</v>
      </c>
      <c r="F35" s="1">
        <v>18</v>
      </c>
      <c r="G35" s="1">
        <v>10</v>
      </c>
      <c r="H35" s="1">
        <v>9.6</v>
      </c>
      <c r="I35" s="15">
        <v>10</v>
      </c>
      <c r="J35" s="1" t="s">
        <v>128</v>
      </c>
      <c r="K35" s="26">
        <v>2.9790000000000001E-2</v>
      </c>
      <c r="L35" s="26">
        <v>3.0329999999999999E-2</v>
      </c>
      <c r="M35" s="26">
        <v>2.18E-2</v>
      </c>
      <c r="N35" s="27">
        <v>2.9790000000000001E-2</v>
      </c>
      <c r="O35" s="27">
        <v>3.0329999999999999E-2</v>
      </c>
      <c r="P35" s="27">
        <v>2.18E-2</v>
      </c>
      <c r="Q35" s="27">
        <v>0.96599999999999997</v>
      </c>
      <c r="R35" s="27">
        <v>1.0999999999999999E-2</v>
      </c>
      <c r="S35" s="27">
        <v>0</v>
      </c>
      <c r="T35" s="27">
        <v>0</v>
      </c>
      <c r="U35" s="27">
        <v>1.7000000000000001E-2</v>
      </c>
      <c r="V35" s="27">
        <v>6.0000000000000001E-3</v>
      </c>
      <c r="W35" s="28">
        <v>97</v>
      </c>
      <c r="X35" s="27">
        <v>0.96571428571428575</v>
      </c>
      <c r="Y35" s="110">
        <v>169</v>
      </c>
      <c r="Z35" s="18">
        <v>1.0999999999999999E-2</v>
      </c>
      <c r="AA35" s="18">
        <v>0</v>
      </c>
      <c r="AB35" s="18">
        <v>0</v>
      </c>
      <c r="AC35" s="18">
        <v>1.7000000000000001E-2</v>
      </c>
      <c r="AD35" s="27">
        <f>AC35+AA35</f>
        <v>1.7000000000000001E-2</v>
      </c>
      <c r="AE35" s="18">
        <v>6.0000000000000001E-3</v>
      </c>
      <c r="AF35" s="1" t="s">
        <v>129</v>
      </c>
      <c r="AG35" s="1" t="s">
        <v>130</v>
      </c>
      <c r="AH35" s="1" t="s">
        <v>146</v>
      </c>
      <c r="AI35" s="1">
        <v>12</v>
      </c>
      <c r="AJ35" s="1">
        <v>55</v>
      </c>
      <c r="AK35" s="1">
        <v>81</v>
      </c>
      <c r="AL35" s="1" t="s">
        <v>132</v>
      </c>
      <c r="AM35" s="1">
        <v>171</v>
      </c>
      <c r="AN35" s="1">
        <v>98</v>
      </c>
      <c r="AO35" s="1">
        <v>42</v>
      </c>
      <c r="AP35" s="3">
        <v>70</v>
      </c>
      <c r="AQ35" s="1">
        <v>40</v>
      </c>
      <c r="AR35" s="1">
        <v>100</v>
      </c>
      <c r="AS35" s="1">
        <v>35</v>
      </c>
      <c r="AT35" s="1">
        <v>88</v>
      </c>
      <c r="AU35" s="1">
        <v>80</v>
      </c>
      <c r="AV35" s="1">
        <v>100</v>
      </c>
      <c r="AW35" s="1">
        <v>80</v>
      </c>
      <c r="AX35" s="1">
        <v>100</v>
      </c>
      <c r="AY35" s="30" t="e">
        <f>NORMINV(AV35/100,0,1)-NORMINV(1-(AX35/100),0,1)</f>
        <v>#NUM!</v>
      </c>
      <c r="AZ35" s="31">
        <f>NORMSINV((AV35*(80/100)+0.5)/81)-NORMSINV(1-(AX35*(80/100)+0.5)/81)</f>
        <v>5.0042129466861258</v>
      </c>
      <c r="BA35" s="1">
        <v>30</v>
      </c>
      <c r="BB35" s="1">
        <v>100</v>
      </c>
      <c r="BC35" s="1">
        <v>15</v>
      </c>
      <c r="BD35" s="1">
        <v>100</v>
      </c>
      <c r="BE35" s="1">
        <v>15</v>
      </c>
      <c r="BF35" s="1">
        <v>100</v>
      </c>
      <c r="BG35" s="1">
        <v>22</v>
      </c>
      <c r="BH35" s="1">
        <v>73</v>
      </c>
      <c r="BI35" s="1">
        <v>28</v>
      </c>
      <c r="BJ35" s="1">
        <v>93</v>
      </c>
      <c r="BK35" s="1">
        <v>57</v>
      </c>
      <c r="BL35" s="3">
        <v>89</v>
      </c>
      <c r="BM35" s="1">
        <v>176</v>
      </c>
      <c r="BN35" s="3">
        <v>88</v>
      </c>
      <c r="BO35" s="21">
        <f>(BM35/204)*100</f>
        <v>86.274509803921575</v>
      </c>
      <c r="BP35" s="1">
        <v>51</v>
      </c>
      <c r="BQ35" s="3">
        <v>98</v>
      </c>
      <c r="BR35" s="23" t="s">
        <v>133</v>
      </c>
      <c r="BS35" s="3">
        <v>3.4</v>
      </c>
      <c r="BT35" s="1">
        <v>39</v>
      </c>
      <c r="BU35" s="3">
        <v>98</v>
      </c>
      <c r="BV35" s="3">
        <v>2.83</v>
      </c>
      <c r="BW35" s="1">
        <v>39</v>
      </c>
      <c r="BX35" s="3">
        <v>98</v>
      </c>
      <c r="BY35" s="3">
        <v>4.3499999999999996</v>
      </c>
      <c r="BZ35" s="23" t="s">
        <v>134</v>
      </c>
      <c r="CA35" s="111" t="s">
        <v>204</v>
      </c>
      <c r="CB35" s="33">
        <v>6</v>
      </c>
      <c r="CC35" s="34">
        <v>3.4285714285714287E-2</v>
      </c>
      <c r="CD35" s="122">
        <v>98</v>
      </c>
      <c r="CE35" s="123">
        <v>100</v>
      </c>
      <c r="CF35" s="123">
        <v>98</v>
      </c>
      <c r="CG35" s="1">
        <v>100</v>
      </c>
      <c r="CH35" s="1" t="s">
        <v>140</v>
      </c>
      <c r="CI35" s="3" t="s">
        <v>136</v>
      </c>
      <c r="CJ35" s="3" t="s">
        <v>136</v>
      </c>
      <c r="CK35" s="3" t="s">
        <v>136</v>
      </c>
      <c r="CL35" s="1" t="s">
        <v>151</v>
      </c>
      <c r="CM35" s="3" t="s">
        <v>205</v>
      </c>
      <c r="CN35" s="3" t="s">
        <v>136</v>
      </c>
      <c r="CO35" s="3" t="s">
        <v>136</v>
      </c>
      <c r="CP35" s="3" t="s">
        <v>136</v>
      </c>
      <c r="CQ35" s="3">
        <v>1</v>
      </c>
      <c r="CR35" s="1"/>
      <c r="CS35" s="1" t="s">
        <v>138</v>
      </c>
      <c r="CT35" s="1" t="s">
        <v>138</v>
      </c>
      <c r="CU35" s="1" t="s">
        <v>138</v>
      </c>
      <c r="CV35" s="1" t="s">
        <v>138</v>
      </c>
      <c r="CW35" s="1" t="s">
        <v>138</v>
      </c>
    </row>
    <row r="36" spans="1:192">
      <c r="A36" s="190">
        <v>20019</v>
      </c>
      <c r="B36" s="60"/>
      <c r="C36" s="8">
        <v>69.5</v>
      </c>
      <c r="D36" s="8">
        <v>8</v>
      </c>
      <c r="E36" s="8">
        <v>4</v>
      </c>
      <c r="F36" s="8">
        <v>12</v>
      </c>
      <c r="G36" s="8">
        <v>7.65</v>
      </c>
      <c r="H36" s="8">
        <v>7.5</v>
      </c>
      <c r="I36" s="79">
        <v>7.6</v>
      </c>
      <c r="J36" s="8" t="s">
        <v>190</v>
      </c>
      <c r="K36" s="77">
        <v>5.2850000000000001E-2</v>
      </c>
      <c r="L36" s="77">
        <v>1.4109999999999999E-2</v>
      </c>
      <c r="M36" s="77">
        <v>7.9399999999999991E-3</v>
      </c>
      <c r="N36" s="77">
        <v>5.2850000000000001E-2</v>
      </c>
      <c r="O36" s="77">
        <v>1.4109999999999999E-2</v>
      </c>
      <c r="P36" s="77">
        <v>7.9399999999999991E-3</v>
      </c>
      <c r="Q36" s="77">
        <v>0.88400000000000001</v>
      </c>
      <c r="R36" s="77">
        <v>1.2E-2</v>
      </c>
      <c r="S36" s="77">
        <v>6.0000000000000001E-3</v>
      </c>
      <c r="T36" s="77">
        <v>0</v>
      </c>
      <c r="U36" s="77">
        <v>9.9000000000000005E-2</v>
      </c>
      <c r="V36" s="77">
        <v>0</v>
      </c>
      <c r="W36" s="8">
        <v>87</v>
      </c>
      <c r="X36" s="77">
        <v>0.86899999999999999</v>
      </c>
      <c r="Y36" s="8">
        <v>152</v>
      </c>
      <c r="Z36" s="77">
        <v>1.0999999999999999E-2</v>
      </c>
      <c r="AA36" s="77">
        <v>6.0000000000000001E-3</v>
      </c>
      <c r="AB36" s="77">
        <v>0</v>
      </c>
      <c r="AC36" s="77">
        <v>9.7000000000000003E-2</v>
      </c>
      <c r="AD36" s="77">
        <v>0.10299999999999999</v>
      </c>
      <c r="AE36" s="77">
        <v>0</v>
      </c>
      <c r="AF36" s="12" t="s">
        <v>167</v>
      </c>
      <c r="AG36" s="12" t="s">
        <v>130</v>
      </c>
      <c r="AH36" s="12" t="s">
        <v>146</v>
      </c>
      <c r="AI36" s="12">
        <v>12</v>
      </c>
      <c r="AJ36" s="12">
        <v>76</v>
      </c>
      <c r="AK36" s="12">
        <v>227</v>
      </c>
      <c r="AL36" s="12" t="s">
        <v>132</v>
      </c>
      <c r="AM36" s="8" t="s">
        <v>165</v>
      </c>
      <c r="AN36" s="8" t="s">
        <v>165</v>
      </c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>
        <v>2.2000000000000002</v>
      </c>
      <c r="BT36" s="121">
        <v>32</v>
      </c>
      <c r="BU36" s="8">
        <v>80</v>
      </c>
      <c r="BV36" s="8">
        <v>2</v>
      </c>
      <c r="BW36" s="8">
        <v>39</v>
      </c>
      <c r="BX36" s="8">
        <v>98</v>
      </c>
      <c r="BY36" s="8">
        <v>3</v>
      </c>
      <c r="BZ36" s="8"/>
      <c r="CA36" s="8"/>
      <c r="CB36" s="78" t="s">
        <v>165</v>
      </c>
      <c r="CC36" s="78" t="s">
        <v>165</v>
      </c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 t="s">
        <v>136</v>
      </c>
      <c r="CO36" s="8" t="s">
        <v>136</v>
      </c>
      <c r="CP36" s="8" t="s">
        <v>136</v>
      </c>
      <c r="CQ36" s="8"/>
      <c r="CR36" s="8"/>
      <c r="CS36" s="8"/>
      <c r="CT36" s="8"/>
      <c r="CU36" s="8"/>
      <c r="CV36" s="8"/>
      <c r="CW36" s="12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  <c r="FE36" s="10"/>
      <c r="FF36" s="10"/>
      <c r="FG36" s="10"/>
      <c r="FH36" s="10"/>
      <c r="FI36" s="10"/>
      <c r="FJ36" s="10"/>
      <c r="FK36" s="10"/>
      <c r="FL36" s="10"/>
      <c r="FM36" s="10"/>
      <c r="FN36" s="10"/>
      <c r="FO36" s="10"/>
      <c r="FP36" s="10"/>
      <c r="FQ36" s="10"/>
      <c r="FR36" s="10"/>
      <c r="FS36" s="10"/>
      <c r="FT36" s="10"/>
      <c r="FU36" s="10"/>
      <c r="FV36" s="10"/>
      <c r="FW36" s="10"/>
      <c r="FX36" s="10"/>
      <c r="FY36" s="10"/>
      <c r="FZ36" s="10"/>
      <c r="GA36" s="10"/>
      <c r="GB36" s="10"/>
      <c r="GC36" s="10"/>
      <c r="GD36" s="10"/>
      <c r="GE36" s="10"/>
      <c r="GF36" s="10"/>
      <c r="GG36" s="10"/>
      <c r="GH36" s="10"/>
      <c r="GI36" s="10"/>
      <c r="GJ36" s="10"/>
    </row>
    <row r="37" spans="1:192" ht="60">
      <c r="A37" s="190">
        <v>20020</v>
      </c>
      <c r="B37" s="23" t="s">
        <v>166</v>
      </c>
      <c r="C37" s="108">
        <v>69.2</v>
      </c>
      <c r="D37" s="1">
        <v>8</v>
      </c>
      <c r="E37" s="108">
        <v>5</v>
      </c>
      <c r="F37" s="1">
        <v>13</v>
      </c>
      <c r="G37" s="108">
        <v>7.9</v>
      </c>
      <c r="H37" s="108">
        <v>6.2</v>
      </c>
      <c r="I37" s="124">
        <v>7.5</v>
      </c>
      <c r="J37" s="1" t="s">
        <v>210</v>
      </c>
      <c r="K37" s="26">
        <v>9.5000000000000001E-2</v>
      </c>
      <c r="L37" s="26">
        <v>4.0000000000000001E-3</v>
      </c>
      <c r="M37" s="26">
        <v>2.7699999999999999E-3</v>
      </c>
      <c r="N37" s="74">
        <v>3.1E-2</v>
      </c>
      <c r="O37" s="74">
        <v>1.6E-2</v>
      </c>
      <c r="P37" s="74">
        <v>1.4999999999999999E-2</v>
      </c>
      <c r="Q37" s="27">
        <v>0.73699999999999999</v>
      </c>
      <c r="R37" s="27">
        <v>3.5999999999999997E-2</v>
      </c>
      <c r="S37" s="27">
        <v>1.2E-2</v>
      </c>
      <c r="T37" s="27">
        <v>1.7999999999999999E-2</v>
      </c>
      <c r="U37" s="27">
        <v>0.19800000000000001</v>
      </c>
      <c r="V37" s="27">
        <v>0</v>
      </c>
      <c r="W37" s="28">
        <v>70</v>
      </c>
      <c r="X37" s="27">
        <v>0.70285714285714285</v>
      </c>
      <c r="Y37" s="110">
        <v>123</v>
      </c>
      <c r="Z37" s="18">
        <v>3.4000000000000002E-2</v>
      </c>
      <c r="AA37" s="18">
        <v>1.0999999999999999E-2</v>
      </c>
      <c r="AB37" s="18">
        <v>1.7000000000000001E-2</v>
      </c>
      <c r="AC37" s="18">
        <v>0.189</v>
      </c>
      <c r="AD37" s="27">
        <f t="shared" ref="AD37:AD55" si="5">AC37+AA37</f>
        <v>0.2</v>
      </c>
      <c r="AE37" s="18">
        <v>0</v>
      </c>
      <c r="AF37" s="1" t="s">
        <v>167</v>
      </c>
      <c r="AG37" s="1" t="s">
        <v>130</v>
      </c>
      <c r="AH37" s="1" t="s">
        <v>131</v>
      </c>
      <c r="AI37" s="1">
        <v>13</v>
      </c>
      <c r="AJ37" s="1">
        <v>64</v>
      </c>
      <c r="AK37" s="1">
        <v>192</v>
      </c>
      <c r="AL37" s="1" t="s">
        <v>132</v>
      </c>
      <c r="AM37" s="1">
        <v>138</v>
      </c>
      <c r="AN37" s="1">
        <v>79</v>
      </c>
      <c r="AO37" s="1">
        <v>18</v>
      </c>
      <c r="AP37" s="3">
        <v>30</v>
      </c>
      <c r="AQ37" s="1">
        <v>32</v>
      </c>
      <c r="AR37" s="1">
        <v>80</v>
      </c>
      <c r="AS37" s="1">
        <v>35</v>
      </c>
      <c r="AT37" s="1">
        <v>88</v>
      </c>
      <c r="AU37" s="1">
        <v>68</v>
      </c>
      <c r="AV37" s="1">
        <v>85</v>
      </c>
      <c r="AW37" s="1">
        <v>68</v>
      </c>
      <c r="AX37" s="1">
        <v>85</v>
      </c>
      <c r="AY37" s="30">
        <f t="shared" ref="AY37:AY60" si="6">NORMINV(AV37/100,0,1)-NORMINV(1-(AX37/100),0,1)</f>
        <v>2.0728667789875797</v>
      </c>
      <c r="AZ37" s="31">
        <f t="shared" ref="AZ37:AZ68" si="7">NORMSINV((AV37*(80/100)+0.5)/81)-NORMSINV(1-(AX37*(80/100)+0.5)/81)</f>
        <v>2.036151430027179</v>
      </c>
      <c r="BA37" s="1">
        <v>24</v>
      </c>
      <c r="BB37" s="1">
        <v>80</v>
      </c>
      <c r="BC37" s="1">
        <v>11</v>
      </c>
      <c r="BD37" s="1">
        <v>73</v>
      </c>
      <c r="BE37" s="1">
        <v>13</v>
      </c>
      <c r="BF37" s="1">
        <v>87</v>
      </c>
      <c r="BG37" s="1">
        <v>16</v>
      </c>
      <c r="BH37" s="1">
        <v>53</v>
      </c>
      <c r="BI37" s="1">
        <v>25</v>
      </c>
      <c r="BJ37" s="1">
        <v>83</v>
      </c>
      <c r="BK37" s="1">
        <v>52</v>
      </c>
      <c r="BL37" s="1">
        <v>81</v>
      </c>
      <c r="BM37" s="1">
        <v>164</v>
      </c>
      <c r="BN37" s="1">
        <v>84</v>
      </c>
      <c r="BO37" s="21">
        <f t="shared" ref="BO37:BO60" si="8">(BM37/204)*100</f>
        <v>80.392156862745097</v>
      </c>
      <c r="BP37" s="1">
        <v>48</v>
      </c>
      <c r="BQ37" s="3">
        <v>92</v>
      </c>
      <c r="BR37" s="23" t="s">
        <v>185</v>
      </c>
      <c r="BS37" s="3">
        <v>2</v>
      </c>
      <c r="BT37" s="1">
        <v>35</v>
      </c>
      <c r="BU37" s="1">
        <v>88</v>
      </c>
      <c r="BV37" s="3">
        <v>1.5</v>
      </c>
      <c r="BW37" s="1">
        <v>35</v>
      </c>
      <c r="BX37" s="1">
        <v>88</v>
      </c>
      <c r="BY37" s="3">
        <v>1.57</v>
      </c>
      <c r="BZ37" s="23" t="s">
        <v>211</v>
      </c>
      <c r="CA37" s="23" t="s">
        <v>211</v>
      </c>
      <c r="CB37" s="33">
        <v>74</v>
      </c>
      <c r="CC37" s="34">
        <v>0.42285714285714288</v>
      </c>
      <c r="CD37" s="122">
        <v>90</v>
      </c>
      <c r="CE37" s="122">
        <v>91</v>
      </c>
      <c r="CF37" s="123">
        <v>94</v>
      </c>
      <c r="CG37" s="1">
        <v>100</v>
      </c>
      <c r="CH37" s="1" t="s">
        <v>140</v>
      </c>
      <c r="CI37" s="3" t="s">
        <v>136</v>
      </c>
      <c r="CJ37" s="3" t="s">
        <v>136</v>
      </c>
      <c r="CK37" s="3" t="s">
        <v>136</v>
      </c>
      <c r="CL37" s="1" t="s">
        <v>151</v>
      </c>
      <c r="CM37" s="3" t="s">
        <v>137</v>
      </c>
      <c r="CN37" s="3" t="s">
        <v>136</v>
      </c>
      <c r="CO37" s="3" t="s">
        <v>136</v>
      </c>
      <c r="CP37" s="3" t="s">
        <v>136</v>
      </c>
      <c r="CQ37" s="3">
        <v>1</v>
      </c>
      <c r="CR37" s="1"/>
      <c r="CS37" s="1" t="s">
        <v>138</v>
      </c>
      <c r="CT37" s="1" t="s">
        <v>138</v>
      </c>
      <c r="CU37" s="1" t="s">
        <v>138</v>
      </c>
      <c r="CV37" s="1" t="s">
        <v>138</v>
      </c>
      <c r="CW37" s="1" t="s">
        <v>138</v>
      </c>
    </row>
    <row r="38" spans="1:192" ht="60">
      <c r="A38" s="190">
        <v>20021</v>
      </c>
      <c r="B38" s="23" t="s">
        <v>127</v>
      </c>
      <c r="C38" s="1">
        <v>46.1</v>
      </c>
      <c r="D38" s="1">
        <v>6</v>
      </c>
      <c r="E38" s="1">
        <v>4</v>
      </c>
      <c r="F38" s="1">
        <v>10</v>
      </c>
      <c r="G38" s="1">
        <v>7.05</v>
      </c>
      <c r="H38" s="1">
        <v>3.6</v>
      </c>
      <c r="I38" s="15">
        <v>2.4</v>
      </c>
      <c r="J38" s="1" t="s">
        <v>210</v>
      </c>
      <c r="K38" s="26">
        <v>1E-3</v>
      </c>
      <c r="L38" s="26">
        <v>2.3E-2</v>
      </c>
      <c r="M38" s="26">
        <v>4.9779999999999998E-2</v>
      </c>
      <c r="N38" s="27">
        <v>1E-3</v>
      </c>
      <c r="O38" s="27">
        <v>2.3E-2</v>
      </c>
      <c r="P38" s="27">
        <v>4.9779999999999998E-2</v>
      </c>
      <c r="Q38" s="126">
        <v>0.186</v>
      </c>
      <c r="R38" s="126">
        <v>0.14299999999999999</v>
      </c>
      <c r="S38" s="126">
        <v>0.17100000000000001</v>
      </c>
      <c r="T38" s="126">
        <v>0</v>
      </c>
      <c r="U38" s="126">
        <v>0.14299999999999999</v>
      </c>
      <c r="V38" s="126">
        <v>0.35699999999999998</v>
      </c>
      <c r="W38" s="127">
        <v>7</v>
      </c>
      <c r="X38" s="128">
        <v>7.4285714285714288E-2</v>
      </c>
      <c r="Y38" s="110">
        <v>13</v>
      </c>
      <c r="Z38" s="18">
        <v>5.7000000000000002E-2</v>
      </c>
      <c r="AA38" s="18">
        <v>6.9000000000000006E-2</v>
      </c>
      <c r="AB38" s="18">
        <v>0</v>
      </c>
      <c r="AC38" s="18">
        <v>5.0999999999999997E-2</v>
      </c>
      <c r="AD38" s="27">
        <f t="shared" si="5"/>
        <v>0.12</v>
      </c>
      <c r="AE38" s="18">
        <v>0.14899999999999999</v>
      </c>
      <c r="AF38" s="1" t="s">
        <v>167</v>
      </c>
      <c r="AG38" s="1" t="s">
        <v>130</v>
      </c>
      <c r="AH38" s="1" t="s">
        <v>131</v>
      </c>
      <c r="AI38" s="1">
        <v>16</v>
      </c>
      <c r="AJ38" s="1">
        <f>2006-1943</f>
        <v>63</v>
      </c>
      <c r="AK38" s="1">
        <v>197</v>
      </c>
      <c r="AL38" s="1" t="s">
        <v>132</v>
      </c>
      <c r="AM38" s="1">
        <v>151</v>
      </c>
      <c r="AN38" s="1">
        <v>86</v>
      </c>
      <c r="AO38" s="1">
        <v>20</v>
      </c>
      <c r="AP38" s="3">
        <v>33</v>
      </c>
      <c r="AQ38" s="1">
        <v>31</v>
      </c>
      <c r="AR38" s="3">
        <v>78</v>
      </c>
      <c r="AS38" s="1">
        <v>26</v>
      </c>
      <c r="AT38" s="3">
        <v>65</v>
      </c>
      <c r="AU38" s="1">
        <v>75</v>
      </c>
      <c r="AV38" s="3">
        <v>94</v>
      </c>
      <c r="AW38" s="1">
        <v>70</v>
      </c>
      <c r="AX38" s="3">
        <v>88</v>
      </c>
      <c r="AY38" s="30">
        <f t="shared" si="6"/>
        <v>2.7297603866629432</v>
      </c>
      <c r="AZ38" s="31">
        <f t="shared" si="7"/>
        <v>2.6625527689073478</v>
      </c>
      <c r="BA38" s="1">
        <v>28</v>
      </c>
      <c r="BB38" s="1">
        <v>93</v>
      </c>
      <c r="BC38" s="1">
        <v>15</v>
      </c>
      <c r="BD38" s="1">
        <v>100</v>
      </c>
      <c r="BE38" s="1">
        <v>13</v>
      </c>
      <c r="BF38" s="1">
        <v>87</v>
      </c>
      <c r="BG38" s="1">
        <v>18</v>
      </c>
      <c r="BH38" s="1">
        <v>60</v>
      </c>
      <c r="BI38" s="1">
        <v>30</v>
      </c>
      <c r="BJ38" s="1">
        <v>100</v>
      </c>
      <c r="BK38" s="1">
        <v>52</v>
      </c>
      <c r="BL38" s="3">
        <v>81</v>
      </c>
      <c r="BM38" s="1">
        <v>167</v>
      </c>
      <c r="BN38" s="3">
        <v>85</v>
      </c>
      <c r="BO38" s="21">
        <f t="shared" si="8"/>
        <v>81.862745098039213</v>
      </c>
      <c r="BP38" s="1">
        <v>46</v>
      </c>
      <c r="BQ38" s="3">
        <v>88</v>
      </c>
      <c r="BR38" s="23" t="s">
        <v>185</v>
      </c>
      <c r="BS38" s="3">
        <v>1.4</v>
      </c>
      <c r="BT38" s="1">
        <v>35</v>
      </c>
      <c r="BU38" s="3">
        <v>88</v>
      </c>
      <c r="BV38" s="3">
        <v>3</v>
      </c>
      <c r="BW38" s="1">
        <v>30</v>
      </c>
      <c r="BX38" s="3">
        <v>75</v>
      </c>
      <c r="BY38" s="3">
        <v>1</v>
      </c>
      <c r="BZ38" s="23" t="s">
        <v>194</v>
      </c>
      <c r="CA38" s="23" t="s">
        <v>194</v>
      </c>
      <c r="CB38" s="33">
        <v>12</v>
      </c>
      <c r="CC38" s="34">
        <v>6.8571428571428575E-2</v>
      </c>
      <c r="CD38" s="125">
        <v>83</v>
      </c>
      <c r="CE38" s="125">
        <v>84</v>
      </c>
      <c r="CF38" s="125">
        <v>97</v>
      </c>
      <c r="CG38" s="1">
        <v>100</v>
      </c>
      <c r="CH38" s="1" t="s">
        <v>140</v>
      </c>
      <c r="CI38" s="3" t="s">
        <v>136</v>
      </c>
      <c r="CJ38" s="3" t="s">
        <v>136</v>
      </c>
      <c r="CK38" s="3" t="s">
        <v>136</v>
      </c>
      <c r="CM38" s="3" t="s">
        <v>205</v>
      </c>
      <c r="CN38" s="3" t="s">
        <v>188</v>
      </c>
      <c r="CO38" s="13"/>
      <c r="CP38" s="13"/>
      <c r="CQ38" s="13"/>
      <c r="CR38" s="1" t="s">
        <v>138</v>
      </c>
      <c r="CS38" s="1" t="s">
        <v>138</v>
      </c>
      <c r="CT38" s="1" t="s">
        <v>138</v>
      </c>
      <c r="CU38" s="1" t="s">
        <v>138</v>
      </c>
      <c r="CV38" s="1" t="s">
        <v>138</v>
      </c>
      <c r="CW38" s="1" t="s">
        <v>138</v>
      </c>
    </row>
    <row r="39" spans="1:192" s="13" customFormat="1" ht="60">
      <c r="A39" s="190">
        <v>20022</v>
      </c>
      <c r="B39" s="23" t="s">
        <v>127</v>
      </c>
      <c r="C39" s="108">
        <v>72.099999999999994</v>
      </c>
      <c r="D39" s="1">
        <v>9</v>
      </c>
      <c r="E39" s="1">
        <v>6</v>
      </c>
      <c r="F39" s="1">
        <v>15</v>
      </c>
      <c r="G39" s="1">
        <v>7.4</v>
      </c>
      <c r="H39" s="108">
        <v>7.8</v>
      </c>
      <c r="I39" s="108">
        <v>5.7</v>
      </c>
      <c r="J39" s="1" t="s">
        <v>210</v>
      </c>
      <c r="K39" s="26">
        <v>2.3E-2</v>
      </c>
      <c r="L39" s="26">
        <v>0.03</v>
      </c>
      <c r="M39" s="26">
        <v>1.5480000000000001E-2</v>
      </c>
      <c r="N39" s="27">
        <v>2.3E-2</v>
      </c>
      <c r="O39" s="27">
        <v>0.03</v>
      </c>
      <c r="P39" s="27">
        <v>1.5480000000000001E-2</v>
      </c>
      <c r="Q39" s="27">
        <v>0.82499999999999996</v>
      </c>
      <c r="R39" s="27">
        <v>6.3E-2</v>
      </c>
      <c r="S39" s="27">
        <v>2.1000000000000001E-2</v>
      </c>
      <c r="T39" s="27">
        <v>4.9000000000000002E-2</v>
      </c>
      <c r="U39" s="27">
        <v>2.8000000000000001E-2</v>
      </c>
      <c r="V39" s="27">
        <v>1.4E-2</v>
      </c>
      <c r="W39" s="28">
        <v>67</v>
      </c>
      <c r="X39" s="27">
        <v>0.68</v>
      </c>
      <c r="Y39" s="110">
        <v>119</v>
      </c>
      <c r="Z39" s="18">
        <v>5.0999999999999997E-2</v>
      </c>
      <c r="AA39" s="18">
        <v>1.7000000000000001E-2</v>
      </c>
      <c r="AB39" s="18">
        <v>0.04</v>
      </c>
      <c r="AC39" s="18">
        <v>2.3E-2</v>
      </c>
      <c r="AD39" s="27">
        <f t="shared" si="5"/>
        <v>0.04</v>
      </c>
      <c r="AE39" s="18">
        <v>1.0999999999999999E-2</v>
      </c>
      <c r="AF39" s="1" t="s">
        <v>129</v>
      </c>
      <c r="AG39" s="1" t="s">
        <v>130</v>
      </c>
      <c r="AH39" s="1" t="s">
        <v>146</v>
      </c>
      <c r="AI39" s="1">
        <v>16</v>
      </c>
      <c r="AJ39" s="1">
        <v>77</v>
      </c>
      <c r="AK39" s="1">
        <v>108</v>
      </c>
      <c r="AL39" s="1" t="s">
        <v>132</v>
      </c>
      <c r="AM39" s="1">
        <v>168</v>
      </c>
      <c r="AN39" s="1">
        <v>96</v>
      </c>
      <c r="AO39" s="1">
        <v>40</v>
      </c>
      <c r="AP39" s="3">
        <v>67</v>
      </c>
      <c r="AQ39" s="1">
        <v>36</v>
      </c>
      <c r="AR39" s="1">
        <v>90</v>
      </c>
      <c r="AS39" s="1">
        <v>25</v>
      </c>
      <c r="AT39" s="1">
        <v>63</v>
      </c>
      <c r="AU39" s="1">
        <v>69</v>
      </c>
      <c r="AV39" s="1">
        <v>86</v>
      </c>
      <c r="AW39" s="1">
        <v>76</v>
      </c>
      <c r="AX39" s="1">
        <v>95</v>
      </c>
      <c r="AY39" s="30">
        <f t="shared" si="6"/>
        <v>2.725172967766428</v>
      </c>
      <c r="AZ39" s="31">
        <f t="shared" si="7"/>
        <v>2.6537810615544757</v>
      </c>
      <c r="BA39" s="1">
        <v>26</v>
      </c>
      <c r="BB39" s="1">
        <v>87</v>
      </c>
      <c r="BC39" s="1">
        <v>14</v>
      </c>
      <c r="BD39" s="1">
        <v>93</v>
      </c>
      <c r="BE39" s="1">
        <v>12</v>
      </c>
      <c r="BF39" s="1">
        <v>80</v>
      </c>
      <c r="BG39" s="1">
        <v>19</v>
      </c>
      <c r="BH39" s="1">
        <v>63</v>
      </c>
      <c r="BI39" s="1">
        <v>26</v>
      </c>
      <c r="BJ39" s="1">
        <v>87</v>
      </c>
      <c r="BK39" s="1">
        <v>48</v>
      </c>
      <c r="BL39" s="1">
        <v>75</v>
      </c>
      <c r="BM39" s="1">
        <v>163</v>
      </c>
      <c r="BN39" s="1">
        <v>85</v>
      </c>
      <c r="BO39" s="21">
        <f t="shared" si="8"/>
        <v>79.901960784313729</v>
      </c>
      <c r="BP39" s="1">
        <v>44</v>
      </c>
      <c r="BQ39" s="3">
        <v>85</v>
      </c>
      <c r="BR39" s="23" t="s">
        <v>133</v>
      </c>
      <c r="BS39" s="3">
        <v>2.4</v>
      </c>
      <c r="BT39" s="1">
        <v>32</v>
      </c>
      <c r="BU39" s="1">
        <v>80</v>
      </c>
      <c r="BV39" s="3">
        <v>1.1299999999999999</v>
      </c>
      <c r="BW39" s="1">
        <v>38</v>
      </c>
      <c r="BX39" s="1">
        <v>95</v>
      </c>
      <c r="BY39" s="3">
        <v>3</v>
      </c>
      <c r="BZ39" s="23" t="s">
        <v>211</v>
      </c>
      <c r="CA39" s="23" t="s">
        <v>204</v>
      </c>
      <c r="CB39" s="33">
        <v>2</v>
      </c>
      <c r="CC39" s="34">
        <v>1.1428571428571429E-2</v>
      </c>
      <c r="CD39" s="3" t="s">
        <v>165</v>
      </c>
      <c r="CE39" s="3" t="s">
        <v>165</v>
      </c>
      <c r="CF39" s="3" t="s">
        <v>165</v>
      </c>
      <c r="CG39" s="1">
        <v>100</v>
      </c>
      <c r="CH39" s="1" t="s">
        <v>140</v>
      </c>
      <c r="CI39" s="3" t="s">
        <v>188</v>
      </c>
      <c r="CL39" s="1" t="s">
        <v>138</v>
      </c>
      <c r="CM39" s="3" t="s">
        <v>212</v>
      </c>
      <c r="CN39" s="3" t="s">
        <v>188</v>
      </c>
      <c r="CR39" s="1" t="s">
        <v>138</v>
      </c>
      <c r="CS39" s="1" t="s">
        <v>138</v>
      </c>
      <c r="CT39" s="1" t="s">
        <v>138</v>
      </c>
      <c r="CU39" s="1" t="s">
        <v>138</v>
      </c>
      <c r="CV39" s="1" t="s">
        <v>138</v>
      </c>
      <c r="CW39" s="1" t="s">
        <v>138</v>
      </c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</row>
    <row r="40" spans="1:192" s="2" customFormat="1" ht="15" customHeight="1">
      <c r="A40" s="190">
        <v>20023</v>
      </c>
      <c r="B40" s="23" t="s">
        <v>127</v>
      </c>
      <c r="C40" s="1">
        <v>89.8</v>
      </c>
      <c r="D40" s="1">
        <v>9</v>
      </c>
      <c r="E40" s="1">
        <v>9</v>
      </c>
      <c r="F40" s="1">
        <v>18</v>
      </c>
      <c r="G40" s="1">
        <v>9</v>
      </c>
      <c r="H40" s="1">
        <v>9.3000000000000007</v>
      </c>
      <c r="I40" s="1">
        <v>8.6</v>
      </c>
      <c r="J40" s="1" t="s">
        <v>128</v>
      </c>
      <c r="K40" s="26">
        <v>2.9000000000000001E-2</v>
      </c>
      <c r="L40" s="26">
        <v>3.2890000000000003E-2</v>
      </c>
      <c r="M40" s="26">
        <v>9.0399999999999994E-3</v>
      </c>
      <c r="N40" s="27">
        <v>2.9000000000000001E-2</v>
      </c>
      <c r="O40" s="27">
        <v>3.2890000000000003E-2</v>
      </c>
      <c r="P40" s="27">
        <v>9.0399999999999994E-3</v>
      </c>
      <c r="Q40" s="27">
        <v>0.91100000000000003</v>
      </c>
      <c r="R40" s="27">
        <v>5.3999999999999999E-2</v>
      </c>
      <c r="S40" s="27">
        <v>6.0000000000000001E-3</v>
      </c>
      <c r="T40" s="27">
        <v>1.7999999999999999E-2</v>
      </c>
      <c r="U40" s="27">
        <v>1.2E-2</v>
      </c>
      <c r="V40" s="27">
        <v>0</v>
      </c>
      <c r="W40" s="28">
        <v>87</v>
      </c>
      <c r="X40" s="27">
        <v>0.87428571428571433</v>
      </c>
      <c r="Y40" s="110">
        <v>153</v>
      </c>
      <c r="Z40" s="18">
        <v>5.0999999999999997E-2</v>
      </c>
      <c r="AA40" s="18">
        <v>6.0000000000000001E-3</v>
      </c>
      <c r="AB40" s="18">
        <v>1.7000000000000001E-2</v>
      </c>
      <c r="AC40" s="18">
        <v>1.0999999999999999E-2</v>
      </c>
      <c r="AD40" s="27">
        <f t="shared" si="5"/>
        <v>1.7000000000000001E-2</v>
      </c>
      <c r="AE40" s="18">
        <v>0</v>
      </c>
      <c r="AF40" s="1" t="s">
        <v>167</v>
      </c>
      <c r="AG40" s="1" t="s">
        <v>130</v>
      </c>
      <c r="AH40" s="1" t="s">
        <v>131</v>
      </c>
      <c r="AI40" s="1">
        <v>12</v>
      </c>
      <c r="AJ40" s="1">
        <v>68</v>
      </c>
      <c r="AK40" s="1">
        <f>(12*16)+9</f>
        <v>201</v>
      </c>
      <c r="AL40" s="1" t="s">
        <v>132</v>
      </c>
      <c r="AM40" s="1">
        <v>166</v>
      </c>
      <c r="AN40" s="1">
        <v>95</v>
      </c>
      <c r="AO40" s="1">
        <v>50</v>
      </c>
      <c r="AP40" s="3">
        <v>83</v>
      </c>
      <c r="AQ40" s="1">
        <v>39</v>
      </c>
      <c r="AR40" s="1">
        <v>98</v>
      </c>
      <c r="AS40" s="1">
        <v>38</v>
      </c>
      <c r="AT40" s="1">
        <v>95</v>
      </c>
      <c r="AU40" s="1">
        <v>75</v>
      </c>
      <c r="AV40" s="1">
        <v>94</v>
      </c>
      <c r="AW40" s="1">
        <v>70</v>
      </c>
      <c r="AX40" s="1">
        <v>88</v>
      </c>
      <c r="AY40" s="30">
        <f t="shared" si="6"/>
        <v>2.7297603866629432</v>
      </c>
      <c r="AZ40" s="31">
        <f t="shared" si="7"/>
        <v>2.6625527689073478</v>
      </c>
      <c r="BA40" s="1">
        <v>27</v>
      </c>
      <c r="BB40" s="1">
        <v>90</v>
      </c>
      <c r="BC40" s="1">
        <v>14</v>
      </c>
      <c r="BD40" s="1">
        <v>93</v>
      </c>
      <c r="BE40" s="1">
        <v>13</v>
      </c>
      <c r="BF40" s="1">
        <v>87</v>
      </c>
      <c r="BG40" s="1">
        <v>25</v>
      </c>
      <c r="BH40" s="1">
        <v>83</v>
      </c>
      <c r="BI40" s="1">
        <v>29</v>
      </c>
      <c r="BJ40" s="1">
        <v>97</v>
      </c>
      <c r="BK40" s="1">
        <v>56</v>
      </c>
      <c r="BL40" s="3">
        <v>88</v>
      </c>
      <c r="BM40" s="1">
        <v>175</v>
      </c>
      <c r="BN40" s="3">
        <v>89</v>
      </c>
      <c r="BO40" s="21">
        <f t="shared" si="8"/>
        <v>85.784313725490193</v>
      </c>
      <c r="BP40" s="1">
        <v>52</v>
      </c>
      <c r="BQ40" s="3">
        <v>100</v>
      </c>
      <c r="BR40" s="23" t="s">
        <v>133</v>
      </c>
      <c r="BS40" s="3">
        <v>5</v>
      </c>
      <c r="BT40" s="1">
        <v>37</v>
      </c>
      <c r="BU40" s="3">
        <v>93</v>
      </c>
      <c r="BV40" s="3">
        <v>5</v>
      </c>
      <c r="BW40" s="1">
        <v>39</v>
      </c>
      <c r="BX40" s="3">
        <v>98</v>
      </c>
      <c r="BY40" s="3">
        <v>5</v>
      </c>
      <c r="BZ40" s="23" t="s">
        <v>134</v>
      </c>
      <c r="CA40" s="111" t="s">
        <v>204</v>
      </c>
      <c r="CB40" s="33">
        <v>4</v>
      </c>
      <c r="CC40" s="34">
        <v>2.2857142857142857E-2</v>
      </c>
      <c r="CD40" s="122">
        <v>96</v>
      </c>
      <c r="CE40" s="123">
        <v>96</v>
      </c>
      <c r="CF40" s="123">
        <v>99</v>
      </c>
      <c r="CG40" s="1">
        <v>100</v>
      </c>
      <c r="CH40" s="1" t="s">
        <v>153</v>
      </c>
      <c r="CI40" s="3" t="s">
        <v>188</v>
      </c>
      <c r="CJ40" s="13"/>
      <c r="CK40" s="13"/>
      <c r="CL40" s="1" t="s">
        <v>138</v>
      </c>
      <c r="CM40" s="3" t="s">
        <v>212</v>
      </c>
      <c r="CN40" s="3" t="s">
        <v>188</v>
      </c>
      <c r="CO40" s="13"/>
      <c r="CP40" s="13"/>
      <c r="CQ40" s="13"/>
      <c r="CR40" s="1" t="s">
        <v>138</v>
      </c>
      <c r="CS40" s="1" t="s">
        <v>138</v>
      </c>
      <c r="CT40" s="1" t="s">
        <v>138</v>
      </c>
      <c r="CU40" s="1" t="s">
        <v>138</v>
      </c>
      <c r="CV40" s="1" t="s">
        <v>138</v>
      </c>
      <c r="CW40" s="1" t="s">
        <v>138</v>
      </c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</row>
    <row r="41" spans="1:192" ht="60">
      <c r="A41" s="190">
        <v>20024</v>
      </c>
      <c r="B41" s="23" t="s">
        <v>127</v>
      </c>
      <c r="C41" s="1">
        <v>90</v>
      </c>
      <c r="D41" s="1">
        <v>9</v>
      </c>
      <c r="E41" s="1">
        <v>9</v>
      </c>
      <c r="F41" s="1">
        <v>18</v>
      </c>
      <c r="G41" s="1">
        <v>9.6</v>
      </c>
      <c r="H41" s="1">
        <v>8</v>
      </c>
      <c r="I41" s="15">
        <v>9.4</v>
      </c>
      <c r="J41" s="1" t="s">
        <v>128</v>
      </c>
      <c r="K41" s="26">
        <v>4.5469999999999997E-2</v>
      </c>
      <c r="L41" s="26">
        <v>1.6910000000000001E-2</v>
      </c>
      <c r="M41" s="26">
        <v>5.4200000000000003E-3</v>
      </c>
      <c r="N41" s="27">
        <v>4.5469999999999997E-2</v>
      </c>
      <c r="O41" s="27">
        <v>1.6910000000000001E-2</v>
      </c>
      <c r="P41" s="27">
        <v>5.4200000000000003E-3</v>
      </c>
      <c r="Q41" s="27">
        <v>0.89</v>
      </c>
      <c r="R41" s="27">
        <v>1.2E-2</v>
      </c>
      <c r="S41" s="27">
        <v>1.7000000000000001E-2</v>
      </c>
      <c r="T41" s="27">
        <v>6.0000000000000001E-3</v>
      </c>
      <c r="U41" s="27">
        <v>7.4999999999999997E-2</v>
      </c>
      <c r="V41" s="27">
        <v>0</v>
      </c>
      <c r="W41" s="52">
        <v>88</v>
      </c>
      <c r="X41" s="27">
        <v>0.88</v>
      </c>
      <c r="Y41" s="110">
        <v>154</v>
      </c>
      <c r="Z41" s="27">
        <v>1.0999999999999999E-2</v>
      </c>
      <c r="AA41" s="27">
        <v>1.7000000000000001E-2</v>
      </c>
      <c r="AB41" s="27">
        <v>6.0000000000000001E-3</v>
      </c>
      <c r="AC41" s="27">
        <v>7.3999999999999996E-2</v>
      </c>
      <c r="AD41" s="27">
        <f t="shared" si="5"/>
        <v>9.0999999999999998E-2</v>
      </c>
      <c r="AE41" s="27">
        <v>0</v>
      </c>
      <c r="AF41" s="1" t="s">
        <v>167</v>
      </c>
      <c r="AG41" s="1" t="s">
        <v>130</v>
      </c>
      <c r="AH41" s="1" t="s">
        <v>146</v>
      </c>
      <c r="AI41" s="1">
        <v>12</v>
      </c>
      <c r="AJ41" s="1">
        <v>48</v>
      </c>
      <c r="AK41" s="1">
        <v>148</v>
      </c>
      <c r="AL41" s="1" t="s">
        <v>132</v>
      </c>
      <c r="AM41" s="1">
        <v>160</v>
      </c>
      <c r="AN41" s="1">
        <v>99</v>
      </c>
      <c r="AO41" s="1">
        <v>31</v>
      </c>
      <c r="AP41" s="1">
        <v>52</v>
      </c>
      <c r="AQ41" s="1">
        <v>35</v>
      </c>
      <c r="AR41" s="1">
        <v>88</v>
      </c>
      <c r="AS41" s="1">
        <v>34</v>
      </c>
      <c r="AT41" s="1">
        <v>85</v>
      </c>
      <c r="AU41" s="1">
        <v>73</v>
      </c>
      <c r="AV41" s="1">
        <v>91</v>
      </c>
      <c r="AW41" s="1">
        <v>77</v>
      </c>
      <c r="AX41" s="1">
        <v>95</v>
      </c>
      <c r="AY41" s="30">
        <f t="shared" si="6"/>
        <v>2.9856086606416876</v>
      </c>
      <c r="AZ41" s="31">
        <f t="shared" si="7"/>
        <v>2.9034328006778445</v>
      </c>
      <c r="BA41" s="1">
        <v>30</v>
      </c>
      <c r="BB41" s="1">
        <v>100</v>
      </c>
      <c r="BC41" s="1">
        <v>15</v>
      </c>
      <c r="BD41" s="1">
        <v>100</v>
      </c>
      <c r="BE41" s="1">
        <v>15</v>
      </c>
      <c r="BF41" s="1">
        <v>100</v>
      </c>
      <c r="BG41" s="1">
        <v>29</v>
      </c>
      <c r="BH41" s="1">
        <v>97</v>
      </c>
      <c r="BI41" s="1">
        <v>30</v>
      </c>
      <c r="BJ41" s="1">
        <v>100</v>
      </c>
      <c r="BK41" s="1">
        <v>51</v>
      </c>
      <c r="BL41" s="3">
        <v>80</v>
      </c>
      <c r="BM41" s="1">
        <v>168</v>
      </c>
      <c r="BN41" s="3">
        <v>83</v>
      </c>
      <c r="BO41" s="21">
        <f t="shared" si="8"/>
        <v>82.35294117647058</v>
      </c>
      <c r="BP41" s="1">
        <v>50</v>
      </c>
      <c r="BQ41" s="3">
        <v>96</v>
      </c>
      <c r="BR41" s="23" t="s">
        <v>185</v>
      </c>
      <c r="BS41" s="3">
        <v>3.4</v>
      </c>
      <c r="BT41" s="1">
        <v>37</v>
      </c>
      <c r="BU41" s="3">
        <v>93</v>
      </c>
      <c r="BV41" s="3">
        <v>3</v>
      </c>
      <c r="BW41" s="1">
        <v>39</v>
      </c>
      <c r="BX41" s="3">
        <v>98</v>
      </c>
      <c r="BY41" s="3">
        <v>3.66</v>
      </c>
      <c r="BZ41" s="23" t="s">
        <v>194</v>
      </c>
      <c r="CA41" s="23" t="s">
        <v>194</v>
      </c>
      <c r="CB41" s="33">
        <v>18</v>
      </c>
      <c r="CC41" s="34">
        <v>0.10285714285714286</v>
      </c>
      <c r="CD41" s="3">
        <v>98</v>
      </c>
      <c r="CE41" s="3">
        <v>99</v>
      </c>
      <c r="CF41" s="3">
        <v>99</v>
      </c>
      <c r="CG41" s="1">
        <v>100</v>
      </c>
      <c r="CH41" s="1" t="s">
        <v>140</v>
      </c>
      <c r="CI41" s="3" t="s">
        <v>136</v>
      </c>
      <c r="CJ41" s="3" t="s">
        <v>136</v>
      </c>
      <c r="CK41" s="3" t="s">
        <v>136</v>
      </c>
      <c r="CL41" s="1" t="s">
        <v>151</v>
      </c>
      <c r="CM41" s="3" t="s">
        <v>213</v>
      </c>
      <c r="CN41" s="3" t="s">
        <v>136</v>
      </c>
      <c r="CO41" s="3" t="s">
        <v>136</v>
      </c>
      <c r="CP41" s="3" t="s">
        <v>136</v>
      </c>
      <c r="CQ41" s="3">
        <v>1</v>
      </c>
      <c r="CR41" s="1"/>
      <c r="CS41" s="1" t="s">
        <v>138</v>
      </c>
      <c r="CT41" s="1" t="s">
        <v>138</v>
      </c>
      <c r="CU41" s="1" t="s">
        <v>138</v>
      </c>
      <c r="CV41" s="1" t="s">
        <v>138</v>
      </c>
      <c r="CW41" s="1" t="s">
        <v>138</v>
      </c>
    </row>
    <row r="42" spans="1:192" ht="60">
      <c r="A42" s="190">
        <v>20025</v>
      </c>
      <c r="B42" s="23" t="s">
        <v>127</v>
      </c>
      <c r="C42" s="1">
        <v>95.1</v>
      </c>
      <c r="D42" s="1">
        <v>10</v>
      </c>
      <c r="E42" s="1">
        <v>9</v>
      </c>
      <c r="F42" s="1">
        <v>19</v>
      </c>
      <c r="G42" s="1">
        <v>9.85</v>
      </c>
      <c r="H42" s="1">
        <v>9.3000000000000007</v>
      </c>
      <c r="I42" s="15">
        <v>9.4</v>
      </c>
      <c r="J42" s="1" t="s">
        <v>128</v>
      </c>
      <c r="K42" s="26">
        <v>0.05</v>
      </c>
      <c r="L42" s="26">
        <v>1.7000000000000001E-2</v>
      </c>
      <c r="M42" s="26">
        <v>6.3699999999999998E-3</v>
      </c>
      <c r="N42" s="27">
        <v>0.05</v>
      </c>
      <c r="O42" s="27">
        <v>1.7000000000000001E-2</v>
      </c>
      <c r="P42" s="27">
        <v>6.3699999999999998E-3</v>
      </c>
      <c r="Q42" s="27">
        <v>0.92600000000000005</v>
      </c>
      <c r="R42" s="27">
        <v>1.0999999999999999E-2</v>
      </c>
      <c r="S42" s="27">
        <v>6.0000000000000001E-3</v>
      </c>
      <c r="T42" s="27">
        <v>6.0000000000000001E-3</v>
      </c>
      <c r="U42" s="27">
        <v>5.0999999999999997E-2</v>
      </c>
      <c r="V42" s="27">
        <v>0</v>
      </c>
      <c r="W42" s="28">
        <v>93</v>
      </c>
      <c r="X42" s="27">
        <v>0.92571428571428571</v>
      </c>
      <c r="Y42" s="110">
        <v>162</v>
      </c>
      <c r="Z42" s="18">
        <v>1.0999999999999999E-2</v>
      </c>
      <c r="AA42" s="18">
        <v>6.0000000000000001E-3</v>
      </c>
      <c r="AB42" s="18">
        <v>6.0000000000000001E-3</v>
      </c>
      <c r="AC42" s="18">
        <v>5.0999999999999997E-2</v>
      </c>
      <c r="AD42" s="27">
        <f t="shared" si="5"/>
        <v>5.6999999999999995E-2</v>
      </c>
      <c r="AE42" s="18">
        <v>0</v>
      </c>
      <c r="AF42" s="1" t="s">
        <v>167</v>
      </c>
      <c r="AG42" s="1" t="s">
        <v>130</v>
      </c>
      <c r="AH42" s="1" t="s">
        <v>131</v>
      </c>
      <c r="AI42" s="1">
        <v>11</v>
      </c>
      <c r="AJ42" s="1">
        <f>2006-1960</f>
        <v>46</v>
      </c>
      <c r="AK42" s="1">
        <f>(12*6)+9</f>
        <v>81</v>
      </c>
      <c r="AL42" s="1" t="s">
        <v>132</v>
      </c>
      <c r="AM42" s="108">
        <v>166</v>
      </c>
      <c r="AN42" s="1">
        <v>95</v>
      </c>
      <c r="AO42" s="1">
        <v>54</v>
      </c>
      <c r="AP42" s="3">
        <v>90</v>
      </c>
      <c r="AQ42" s="1">
        <v>37</v>
      </c>
      <c r="AR42" s="1">
        <v>93</v>
      </c>
      <c r="AS42" s="1">
        <v>32</v>
      </c>
      <c r="AT42" s="1">
        <v>80</v>
      </c>
      <c r="AU42" s="1">
        <v>74</v>
      </c>
      <c r="AV42" s="1">
        <v>93</v>
      </c>
      <c r="AW42" s="1">
        <v>72</v>
      </c>
      <c r="AX42" s="1">
        <v>90</v>
      </c>
      <c r="AY42" s="30">
        <f t="shared" si="6"/>
        <v>2.7573425937237719</v>
      </c>
      <c r="AZ42" s="31">
        <f t="shared" si="7"/>
        <v>2.6912595066250184</v>
      </c>
      <c r="BA42" s="1">
        <v>29</v>
      </c>
      <c r="BB42" s="1">
        <v>97</v>
      </c>
      <c r="BC42" s="1">
        <v>15</v>
      </c>
      <c r="BD42" s="1">
        <v>100</v>
      </c>
      <c r="BE42" s="1">
        <v>14</v>
      </c>
      <c r="BF42" s="1">
        <v>93</v>
      </c>
      <c r="BG42" s="1">
        <v>29</v>
      </c>
      <c r="BH42" s="1">
        <v>97</v>
      </c>
      <c r="BI42" s="1">
        <v>30</v>
      </c>
      <c r="BJ42" s="1">
        <v>100</v>
      </c>
      <c r="BK42" s="108">
        <v>58</v>
      </c>
      <c r="BL42" s="3">
        <v>91</v>
      </c>
      <c r="BM42" s="1">
        <v>177</v>
      </c>
      <c r="BN42" s="3">
        <v>92</v>
      </c>
      <c r="BO42" s="21">
        <f t="shared" si="8"/>
        <v>86.764705882352942</v>
      </c>
      <c r="BP42" s="1">
        <v>50</v>
      </c>
      <c r="BQ42" s="3">
        <v>96</v>
      </c>
      <c r="BR42" s="23" t="s">
        <v>133</v>
      </c>
      <c r="BS42" s="3">
        <v>4</v>
      </c>
      <c r="BT42" s="1">
        <v>39</v>
      </c>
      <c r="BU42" s="3">
        <v>98</v>
      </c>
      <c r="BV42" s="3">
        <v>4.29</v>
      </c>
      <c r="BW42" s="1">
        <v>30</v>
      </c>
      <c r="BX42" s="3">
        <v>75</v>
      </c>
      <c r="BY42" s="3">
        <v>2.38</v>
      </c>
      <c r="BZ42" s="23" t="s">
        <v>134</v>
      </c>
      <c r="CA42" s="111" t="s">
        <v>204</v>
      </c>
      <c r="CB42" s="33">
        <v>1</v>
      </c>
      <c r="CC42" s="34">
        <v>5.7142857142857143E-3</v>
      </c>
      <c r="CD42" s="122">
        <v>98</v>
      </c>
      <c r="CE42" s="123">
        <v>99</v>
      </c>
      <c r="CF42" s="123">
        <v>99</v>
      </c>
      <c r="CG42" s="1">
        <v>100</v>
      </c>
      <c r="CH42" s="1" t="s">
        <v>140</v>
      </c>
      <c r="CI42" s="3" t="s">
        <v>136</v>
      </c>
      <c r="CJ42" s="3" t="s">
        <v>136</v>
      </c>
      <c r="CK42" s="3" t="s">
        <v>136</v>
      </c>
      <c r="CL42" s="1"/>
      <c r="CM42" s="3" t="s">
        <v>212</v>
      </c>
      <c r="CN42" s="3" t="s">
        <v>136</v>
      </c>
      <c r="CO42" s="3" t="s">
        <v>136</v>
      </c>
      <c r="CP42" s="3" t="s">
        <v>136</v>
      </c>
      <c r="CQ42" s="3">
        <v>1</v>
      </c>
      <c r="CR42" s="1"/>
      <c r="CS42" s="1" t="s">
        <v>138</v>
      </c>
      <c r="CT42" s="1" t="s">
        <v>138</v>
      </c>
      <c r="CU42" s="1" t="s">
        <v>138</v>
      </c>
      <c r="CV42" s="1" t="s">
        <v>138</v>
      </c>
      <c r="CW42" s="1" t="s">
        <v>138</v>
      </c>
    </row>
    <row r="43" spans="1:192" ht="60">
      <c r="A43" s="190">
        <v>20026</v>
      </c>
      <c r="B43" s="23" t="s">
        <v>127</v>
      </c>
      <c r="C43" s="1">
        <v>70.599999999999994</v>
      </c>
      <c r="D43" s="1">
        <v>9</v>
      </c>
      <c r="E43" s="1">
        <v>5</v>
      </c>
      <c r="F43" s="1">
        <v>14</v>
      </c>
      <c r="G43" s="1">
        <v>6.6</v>
      </c>
      <c r="H43" s="1">
        <v>7.5</v>
      </c>
      <c r="I43" s="15">
        <v>7.2</v>
      </c>
      <c r="J43" s="1" t="s">
        <v>210</v>
      </c>
      <c r="K43" s="26">
        <v>3.388E-2</v>
      </c>
      <c r="L43" s="26">
        <v>2.5989999999999999E-2</v>
      </c>
      <c r="M43" s="26">
        <v>8.2000000000000007E-3</v>
      </c>
      <c r="N43" s="27">
        <v>3.388E-2</v>
      </c>
      <c r="O43" s="27">
        <v>2.5989999999999999E-2</v>
      </c>
      <c r="P43" s="27">
        <v>8.2000000000000007E-3</v>
      </c>
      <c r="Q43" s="27">
        <v>0.91</v>
      </c>
      <c r="R43" s="27">
        <v>4.4999999999999998E-2</v>
      </c>
      <c r="S43" s="27">
        <v>8.0000000000000002E-3</v>
      </c>
      <c r="T43" s="27">
        <v>8.0000000000000002E-3</v>
      </c>
      <c r="U43" s="27">
        <v>0.03</v>
      </c>
      <c r="V43" s="27">
        <v>0</v>
      </c>
      <c r="W43" s="28">
        <v>69</v>
      </c>
      <c r="X43" s="18">
        <v>0.69142857142857139</v>
      </c>
      <c r="Y43" s="28">
        <v>121</v>
      </c>
      <c r="Z43" s="18">
        <v>3.4000000000000002E-2</v>
      </c>
      <c r="AA43" s="18">
        <v>6.0000000000000001E-3</v>
      </c>
      <c r="AB43" s="18">
        <v>6.0000000000000001E-3</v>
      </c>
      <c r="AC43" s="18">
        <v>2.3E-2</v>
      </c>
      <c r="AD43" s="27">
        <f t="shared" si="5"/>
        <v>2.8999999999999998E-2</v>
      </c>
      <c r="AE43" s="18">
        <v>0</v>
      </c>
      <c r="AF43" s="1" t="s">
        <v>129</v>
      </c>
      <c r="AG43" s="1" t="s">
        <v>130</v>
      </c>
      <c r="AH43" s="1" t="s">
        <v>131</v>
      </c>
      <c r="AI43" s="1">
        <v>18</v>
      </c>
      <c r="AJ43" s="1">
        <v>68</v>
      </c>
      <c r="AK43" s="1">
        <f>20*12</f>
        <v>240</v>
      </c>
      <c r="AL43" s="1" t="s">
        <v>132</v>
      </c>
      <c r="AM43" s="1">
        <v>172</v>
      </c>
      <c r="AN43" s="1">
        <v>98</v>
      </c>
      <c r="AO43" s="1">
        <v>40</v>
      </c>
      <c r="AP43" s="3">
        <v>67</v>
      </c>
      <c r="AQ43" s="1">
        <v>37</v>
      </c>
      <c r="AR43" s="1">
        <v>93</v>
      </c>
      <c r="AS43" s="1">
        <v>32</v>
      </c>
      <c r="AT43" s="1">
        <v>80</v>
      </c>
      <c r="AU43" s="1">
        <v>75</v>
      </c>
      <c r="AV43" s="1">
        <v>94</v>
      </c>
      <c r="AW43" s="1">
        <v>79</v>
      </c>
      <c r="AX43" s="1">
        <v>99</v>
      </c>
      <c r="AY43" s="30">
        <f t="shared" si="6"/>
        <v>3.8811214686376934</v>
      </c>
      <c r="AZ43" s="31">
        <f t="shared" si="7"/>
        <v>3.6538812973381178</v>
      </c>
      <c r="BA43" s="1">
        <v>24</v>
      </c>
      <c r="BB43" s="1">
        <v>80</v>
      </c>
      <c r="BC43" s="1">
        <v>12</v>
      </c>
      <c r="BD43" s="1">
        <v>80</v>
      </c>
      <c r="BE43" s="1">
        <v>12</v>
      </c>
      <c r="BF43" s="1">
        <v>80</v>
      </c>
      <c r="BG43" s="1">
        <v>15</v>
      </c>
      <c r="BH43" s="1">
        <v>50</v>
      </c>
      <c r="BI43" s="1">
        <v>30</v>
      </c>
      <c r="BJ43" s="1">
        <v>100</v>
      </c>
      <c r="BK43" s="1">
        <v>46</v>
      </c>
      <c r="BL43" s="3">
        <v>72</v>
      </c>
      <c r="BM43" s="1">
        <v>147</v>
      </c>
      <c r="BN43" s="3">
        <v>75</v>
      </c>
      <c r="BO43" s="21">
        <f t="shared" si="8"/>
        <v>72.058823529411768</v>
      </c>
      <c r="BP43" s="1">
        <v>46</v>
      </c>
      <c r="BQ43" s="3">
        <v>88</v>
      </c>
      <c r="BR43" s="23" t="s">
        <v>185</v>
      </c>
      <c r="BS43" s="3">
        <v>2.4</v>
      </c>
      <c r="BT43" s="1">
        <v>35</v>
      </c>
      <c r="BU43" s="3">
        <v>88</v>
      </c>
      <c r="BV43" s="3">
        <v>1.72</v>
      </c>
      <c r="BW43" s="1">
        <v>39</v>
      </c>
      <c r="BX43" s="3">
        <v>98</v>
      </c>
      <c r="BY43" s="3">
        <v>1.82</v>
      </c>
      <c r="BZ43" s="23" t="s">
        <v>170</v>
      </c>
      <c r="CA43" s="23" t="s">
        <v>147</v>
      </c>
      <c r="CB43" s="33">
        <v>1</v>
      </c>
      <c r="CC43" s="34">
        <v>5.7142857142857143E-3</v>
      </c>
      <c r="CD43" s="122">
        <v>84</v>
      </c>
      <c r="CE43" s="122">
        <v>97</v>
      </c>
      <c r="CF43" s="123">
        <v>95</v>
      </c>
      <c r="CG43" s="1">
        <v>100</v>
      </c>
      <c r="CH43" s="1" t="s">
        <v>140</v>
      </c>
      <c r="CI43" s="3" t="s">
        <v>136</v>
      </c>
      <c r="CJ43" s="3" t="s">
        <v>136</v>
      </c>
      <c r="CK43" s="3" t="s">
        <v>136</v>
      </c>
      <c r="CL43" s="1" t="s">
        <v>151</v>
      </c>
      <c r="CM43" s="3" t="s">
        <v>205</v>
      </c>
      <c r="CN43" s="3" t="s">
        <v>136</v>
      </c>
      <c r="CO43" s="3" t="s">
        <v>136</v>
      </c>
      <c r="CP43" s="3" t="s">
        <v>136</v>
      </c>
      <c r="CQ43" s="3">
        <v>1</v>
      </c>
      <c r="CR43" s="1"/>
      <c r="CS43" s="1" t="s">
        <v>138</v>
      </c>
      <c r="CT43" s="1" t="s">
        <v>138</v>
      </c>
      <c r="CU43" s="1" t="s">
        <v>138</v>
      </c>
      <c r="CV43" s="1" t="s">
        <v>138</v>
      </c>
      <c r="CW43" s="1" t="s">
        <v>138</v>
      </c>
    </row>
    <row r="44" spans="1:192" s="13" customFormat="1" ht="60">
      <c r="A44" s="190">
        <v>20027</v>
      </c>
      <c r="B44" s="23" t="s">
        <v>166</v>
      </c>
      <c r="C44" s="1">
        <v>73.400000000000006</v>
      </c>
      <c r="D44" s="1">
        <v>8</v>
      </c>
      <c r="E44" s="1">
        <v>5</v>
      </c>
      <c r="F44" s="1">
        <v>13</v>
      </c>
      <c r="G44" s="1">
        <v>8.3000000000000007</v>
      </c>
      <c r="H44" s="1">
        <v>7.5</v>
      </c>
      <c r="I44" s="15">
        <v>7.9</v>
      </c>
      <c r="J44" s="1" t="s">
        <v>128</v>
      </c>
      <c r="K44" s="26">
        <v>3.2349999999999997E-2</v>
      </c>
      <c r="L44" s="26">
        <v>1.9980000000000001E-2</v>
      </c>
      <c r="M44" s="26">
        <v>1.95E-2</v>
      </c>
      <c r="N44" s="27">
        <v>3.2349999999999997E-2</v>
      </c>
      <c r="O44" s="27">
        <v>1.9980000000000001E-2</v>
      </c>
      <c r="P44" s="27">
        <v>1.95E-2</v>
      </c>
      <c r="Q44" s="27">
        <v>0.86399999999999999</v>
      </c>
      <c r="R44" s="27">
        <v>6.0000000000000001E-3</v>
      </c>
      <c r="S44" s="27">
        <v>3.6999999999999998E-2</v>
      </c>
      <c r="T44" s="27">
        <v>2.5000000000000001E-2</v>
      </c>
      <c r="U44" s="27">
        <v>6.8000000000000005E-2</v>
      </c>
      <c r="V44" s="27">
        <v>0</v>
      </c>
      <c r="W44" s="28">
        <v>80</v>
      </c>
      <c r="X44" s="18">
        <v>0.8</v>
      </c>
      <c r="Y44" s="28">
        <v>140</v>
      </c>
      <c r="Z44" s="18">
        <v>6.0000000000000001E-3</v>
      </c>
      <c r="AA44" s="18">
        <v>3.4000000000000002E-2</v>
      </c>
      <c r="AB44" s="18">
        <v>2.3E-2</v>
      </c>
      <c r="AC44" s="18">
        <v>6.3E-2</v>
      </c>
      <c r="AD44" s="27">
        <f t="shared" si="5"/>
        <v>9.7000000000000003E-2</v>
      </c>
      <c r="AE44" s="18">
        <v>0</v>
      </c>
      <c r="AF44" s="1" t="s">
        <v>129</v>
      </c>
      <c r="AG44" s="1" t="s">
        <v>130</v>
      </c>
      <c r="AH44" s="1" t="s">
        <v>131</v>
      </c>
      <c r="AI44" s="1">
        <v>10</v>
      </c>
      <c r="AJ44" s="1">
        <v>45</v>
      </c>
      <c r="AK44" s="1">
        <v>133</v>
      </c>
      <c r="AL44" s="1" t="s">
        <v>132</v>
      </c>
      <c r="AM44" s="108">
        <v>154</v>
      </c>
      <c r="AN44" s="1">
        <v>88</v>
      </c>
      <c r="AO44" s="1">
        <v>31</v>
      </c>
      <c r="AP44" s="3">
        <v>52</v>
      </c>
      <c r="AQ44" s="1">
        <v>39</v>
      </c>
      <c r="AR44" s="1">
        <v>98</v>
      </c>
      <c r="AS44" s="1">
        <v>32</v>
      </c>
      <c r="AT44" s="1">
        <v>80</v>
      </c>
      <c r="AU44" s="1">
        <v>69</v>
      </c>
      <c r="AV44" s="1">
        <v>86</v>
      </c>
      <c r="AW44" s="1">
        <v>58</v>
      </c>
      <c r="AX44" s="1">
        <v>73</v>
      </c>
      <c r="AY44" s="30">
        <f t="shared" si="6"/>
        <v>1.6931323318315838</v>
      </c>
      <c r="AZ44" s="31">
        <f t="shared" si="7"/>
        <v>1.6648098829233238</v>
      </c>
      <c r="BA44" s="1">
        <v>25</v>
      </c>
      <c r="BB44" s="1">
        <v>83</v>
      </c>
      <c r="BC44" s="1">
        <v>14</v>
      </c>
      <c r="BD44" s="1">
        <v>93</v>
      </c>
      <c r="BE44" s="1">
        <v>11</v>
      </c>
      <c r="BF44" s="1">
        <v>73</v>
      </c>
      <c r="BG44" s="1">
        <v>17</v>
      </c>
      <c r="BH44" s="1">
        <v>57</v>
      </c>
      <c r="BI44" s="1">
        <v>27</v>
      </c>
      <c r="BJ44" s="1">
        <v>90</v>
      </c>
      <c r="BK44" s="108">
        <v>53</v>
      </c>
      <c r="BL44" s="3">
        <v>83</v>
      </c>
      <c r="BM44" s="1">
        <v>140</v>
      </c>
      <c r="BN44" s="3">
        <v>75</v>
      </c>
      <c r="BO44" s="21">
        <f t="shared" si="8"/>
        <v>68.627450980392155</v>
      </c>
      <c r="BP44" s="1">
        <v>49</v>
      </c>
      <c r="BQ44" s="3">
        <v>94</v>
      </c>
      <c r="BR44" s="23" t="s">
        <v>133</v>
      </c>
      <c r="BS44" s="3">
        <v>2.4</v>
      </c>
      <c r="BT44" s="1">
        <v>36</v>
      </c>
      <c r="BU44" s="3">
        <v>90</v>
      </c>
      <c r="BV44" s="3">
        <v>1.75</v>
      </c>
      <c r="BW44" s="1">
        <v>38</v>
      </c>
      <c r="BX44" s="3">
        <v>95</v>
      </c>
      <c r="BY44" s="3">
        <v>1.8</v>
      </c>
      <c r="BZ44" s="23" t="s">
        <v>134</v>
      </c>
      <c r="CA44" s="23" t="s">
        <v>147</v>
      </c>
      <c r="CB44" s="33">
        <v>6</v>
      </c>
      <c r="CC44" s="34">
        <v>3.4285714285714287E-2</v>
      </c>
      <c r="CD44" s="129">
        <v>98</v>
      </c>
      <c r="CE44" s="123">
        <v>98</v>
      </c>
      <c r="CF44" s="123">
        <v>100</v>
      </c>
      <c r="CG44" s="1">
        <v>100</v>
      </c>
      <c r="CH44" s="1" t="s">
        <v>140</v>
      </c>
      <c r="CI44" s="3" t="s">
        <v>136</v>
      </c>
      <c r="CJ44" s="3" t="s">
        <v>136</v>
      </c>
      <c r="CK44" s="3" t="s">
        <v>136</v>
      </c>
      <c r="CL44" s="1"/>
      <c r="CM44" s="3" t="s">
        <v>137</v>
      </c>
      <c r="CN44" s="3" t="s">
        <v>136</v>
      </c>
      <c r="CO44" s="3" t="s">
        <v>136</v>
      </c>
      <c r="CP44" s="3" t="s">
        <v>136</v>
      </c>
      <c r="CQ44" s="3">
        <v>1</v>
      </c>
      <c r="CR44" s="1"/>
      <c r="CS44" s="1" t="s">
        <v>138</v>
      </c>
      <c r="CT44" s="1" t="s">
        <v>138</v>
      </c>
      <c r="CU44" s="1" t="s">
        <v>138</v>
      </c>
      <c r="CV44" s="1" t="s">
        <v>138</v>
      </c>
      <c r="CW44" s="1" t="s">
        <v>138</v>
      </c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5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</row>
    <row r="45" spans="1:192" s="13" customFormat="1" ht="60">
      <c r="A45" s="190">
        <v>20028</v>
      </c>
      <c r="B45" s="23" t="s">
        <v>166</v>
      </c>
      <c r="C45" s="1">
        <v>56.8</v>
      </c>
      <c r="D45" s="1">
        <v>8</v>
      </c>
      <c r="E45" s="1">
        <v>4</v>
      </c>
      <c r="F45" s="1">
        <v>12</v>
      </c>
      <c r="G45" s="1">
        <v>7</v>
      </c>
      <c r="H45" s="1">
        <v>3.4</v>
      </c>
      <c r="I45" s="15">
        <v>6</v>
      </c>
      <c r="J45" s="1" t="s">
        <v>210</v>
      </c>
      <c r="K45" s="26">
        <v>1.9390000000000001E-2</v>
      </c>
      <c r="L45" s="26">
        <v>2.6929999999999999E-2</v>
      </c>
      <c r="M45" s="26">
        <v>2.3810000000000001E-2</v>
      </c>
      <c r="N45" s="27">
        <v>1.9390000000000001E-2</v>
      </c>
      <c r="O45" s="27">
        <v>2.6929999999999999E-2</v>
      </c>
      <c r="P45" s="27">
        <v>2.3810000000000001E-2</v>
      </c>
      <c r="Q45" s="27">
        <v>0.72199999999999998</v>
      </c>
      <c r="R45" s="27">
        <v>8.3000000000000004E-2</v>
      </c>
      <c r="S45" s="27">
        <v>3.5000000000000003E-2</v>
      </c>
      <c r="T45" s="27">
        <v>6.9000000000000006E-2</v>
      </c>
      <c r="U45" s="27">
        <v>5.6000000000000001E-2</v>
      </c>
      <c r="V45" s="27">
        <v>3.5000000000000003E-2</v>
      </c>
      <c r="W45" s="28">
        <v>59</v>
      </c>
      <c r="X45" s="18">
        <v>0.59428571428571431</v>
      </c>
      <c r="Y45" s="28">
        <v>104</v>
      </c>
      <c r="Z45" s="18">
        <v>6.9000000000000006E-2</v>
      </c>
      <c r="AA45" s="18">
        <v>2.9000000000000001E-2</v>
      </c>
      <c r="AB45" s="18">
        <v>5.7000000000000002E-2</v>
      </c>
      <c r="AC45" s="18">
        <v>4.5999999999999999E-2</v>
      </c>
      <c r="AD45" s="27">
        <f t="shared" si="5"/>
        <v>7.4999999999999997E-2</v>
      </c>
      <c r="AE45" s="18">
        <v>2.9000000000000001E-2</v>
      </c>
      <c r="AF45" s="1" t="s">
        <v>167</v>
      </c>
      <c r="AG45" s="1" t="s">
        <v>130</v>
      </c>
      <c r="AH45" s="1" t="s">
        <v>146</v>
      </c>
      <c r="AI45" s="1">
        <v>16</v>
      </c>
      <c r="AJ45" s="1">
        <f>2006-1947</f>
        <v>59</v>
      </c>
      <c r="AK45" s="1">
        <f>(12*6)+9</f>
        <v>81</v>
      </c>
      <c r="AL45" s="1" t="s">
        <v>132</v>
      </c>
      <c r="AM45" s="1">
        <v>157</v>
      </c>
      <c r="AN45" s="1">
        <v>90</v>
      </c>
      <c r="AO45" s="1">
        <v>37</v>
      </c>
      <c r="AP45" s="1">
        <v>62</v>
      </c>
      <c r="AQ45" s="1">
        <v>38</v>
      </c>
      <c r="AR45" s="1">
        <v>95</v>
      </c>
      <c r="AS45" s="1">
        <v>37</v>
      </c>
      <c r="AT45" s="1">
        <v>93</v>
      </c>
      <c r="AU45" s="1">
        <v>76</v>
      </c>
      <c r="AV45" s="1">
        <v>95</v>
      </c>
      <c r="AW45" s="1">
        <v>73</v>
      </c>
      <c r="AX45" s="1">
        <v>91</v>
      </c>
      <c r="AY45" s="30">
        <f t="shared" si="6"/>
        <v>2.9856086606416876</v>
      </c>
      <c r="AZ45" s="31">
        <f t="shared" si="7"/>
        <v>2.9034328006778445</v>
      </c>
      <c r="BA45" s="1">
        <v>26</v>
      </c>
      <c r="BB45" s="1">
        <v>87</v>
      </c>
      <c r="BC45" s="1">
        <v>14</v>
      </c>
      <c r="BD45" s="1">
        <v>93</v>
      </c>
      <c r="BE45" s="1">
        <v>12</v>
      </c>
      <c r="BF45" s="1">
        <v>80</v>
      </c>
      <c r="BG45" s="1">
        <v>14</v>
      </c>
      <c r="BH45" s="1">
        <v>47</v>
      </c>
      <c r="BI45" s="1">
        <v>28</v>
      </c>
      <c r="BJ45" s="1">
        <v>93</v>
      </c>
      <c r="BK45" s="1">
        <v>51</v>
      </c>
      <c r="BL45" s="3">
        <v>80</v>
      </c>
      <c r="BM45" s="1">
        <v>166</v>
      </c>
      <c r="BN45" s="3">
        <v>82</v>
      </c>
      <c r="BO45" s="21">
        <f t="shared" si="8"/>
        <v>81.372549019607845</v>
      </c>
      <c r="BP45" s="1">
        <v>47</v>
      </c>
      <c r="BQ45" s="3">
        <v>90</v>
      </c>
      <c r="BR45" s="23" t="s">
        <v>185</v>
      </c>
      <c r="BS45" s="3">
        <v>3</v>
      </c>
      <c r="BT45" s="1">
        <v>37</v>
      </c>
      <c r="BU45" s="3">
        <v>98</v>
      </c>
      <c r="BV45" s="3">
        <v>2.38</v>
      </c>
      <c r="BW45" s="1">
        <v>30</v>
      </c>
      <c r="BX45" s="3">
        <v>75</v>
      </c>
      <c r="BY45" s="3">
        <v>1</v>
      </c>
      <c r="BZ45" s="23" t="s">
        <v>170</v>
      </c>
      <c r="CA45" s="23" t="s">
        <v>147</v>
      </c>
      <c r="CB45" s="130" t="s">
        <v>214</v>
      </c>
      <c r="CC45" s="130" t="s">
        <v>214</v>
      </c>
      <c r="CD45" s="3">
        <v>81</v>
      </c>
      <c r="CE45" s="3">
        <v>81</v>
      </c>
      <c r="CF45" s="3">
        <v>99</v>
      </c>
      <c r="CG45" s="1">
        <v>100</v>
      </c>
      <c r="CH45" s="1" t="s">
        <v>140</v>
      </c>
      <c r="CI45" s="3" t="s">
        <v>136</v>
      </c>
      <c r="CJ45" s="3" t="s">
        <v>136</v>
      </c>
      <c r="CK45" s="3" t="s">
        <v>136</v>
      </c>
      <c r="CL45" s="1"/>
      <c r="CM45" s="3" t="s">
        <v>205</v>
      </c>
      <c r="CN45" s="3" t="s">
        <v>136</v>
      </c>
      <c r="CO45" s="3" t="s">
        <v>136</v>
      </c>
      <c r="CP45" s="3" t="s">
        <v>136</v>
      </c>
      <c r="CQ45" s="3">
        <v>1</v>
      </c>
      <c r="CR45" s="1"/>
      <c r="CS45" s="1" t="s">
        <v>138</v>
      </c>
      <c r="CT45" s="1" t="s">
        <v>138</v>
      </c>
      <c r="CU45" s="1" t="s">
        <v>138</v>
      </c>
      <c r="CV45" s="1" t="s">
        <v>138</v>
      </c>
      <c r="CW45" s="1" t="s">
        <v>138</v>
      </c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5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</row>
    <row r="46" spans="1:192" ht="60">
      <c r="A46" s="190">
        <v>20029</v>
      </c>
      <c r="B46" s="23" t="s">
        <v>166</v>
      </c>
      <c r="C46" s="1">
        <v>63.7</v>
      </c>
      <c r="D46" s="1">
        <v>5</v>
      </c>
      <c r="E46" s="1">
        <v>4</v>
      </c>
      <c r="F46" s="1">
        <v>9</v>
      </c>
      <c r="G46" s="1">
        <v>8.9499999999999993</v>
      </c>
      <c r="H46" s="1">
        <v>7</v>
      </c>
      <c r="I46" s="15">
        <v>6.9</v>
      </c>
      <c r="J46" s="1" t="s">
        <v>210</v>
      </c>
      <c r="K46" s="26">
        <v>2.3980000000000001E-2</v>
      </c>
      <c r="L46" s="26">
        <v>2.4750000000000001E-2</v>
      </c>
      <c r="M46" s="26">
        <v>7.8700000000000003E-3</v>
      </c>
      <c r="N46" s="27">
        <v>2.3980000000000001E-2</v>
      </c>
      <c r="O46" s="27">
        <v>2.4750000000000001E-2</v>
      </c>
      <c r="P46" s="27">
        <v>7.8700000000000003E-3</v>
      </c>
      <c r="Q46" s="27">
        <v>0.80500000000000005</v>
      </c>
      <c r="R46" s="27">
        <v>6.7000000000000004E-2</v>
      </c>
      <c r="S46" s="27">
        <v>2.4E-2</v>
      </c>
      <c r="T46" s="27">
        <v>0.03</v>
      </c>
      <c r="U46" s="27">
        <v>5.5E-2</v>
      </c>
      <c r="V46" s="27">
        <v>1.7999999999999999E-2</v>
      </c>
      <c r="W46" s="131">
        <v>75</v>
      </c>
      <c r="X46" s="132">
        <v>0.75428571428571434</v>
      </c>
      <c r="Y46" s="28">
        <v>132</v>
      </c>
      <c r="Z46" s="133">
        <v>6.3E-2</v>
      </c>
      <c r="AA46" s="134">
        <v>2.3E-2</v>
      </c>
      <c r="AB46" s="132">
        <v>2.9000000000000001E-2</v>
      </c>
      <c r="AC46" s="133">
        <v>5.0999999999999997E-2</v>
      </c>
      <c r="AD46" s="126">
        <f t="shared" si="5"/>
        <v>7.3999999999999996E-2</v>
      </c>
      <c r="AE46" s="134">
        <v>1.7000000000000001E-2</v>
      </c>
      <c r="AF46" s="1" t="s">
        <v>167</v>
      </c>
      <c r="AG46" s="1" t="s">
        <v>130</v>
      </c>
      <c r="AH46" s="1" t="s">
        <v>146</v>
      </c>
      <c r="AI46" s="1">
        <v>13</v>
      </c>
      <c r="AJ46" s="1">
        <v>71</v>
      </c>
      <c r="AK46" s="1">
        <v>127</v>
      </c>
      <c r="AL46" s="1" t="s">
        <v>132</v>
      </c>
      <c r="AM46" s="1">
        <v>174</v>
      </c>
      <c r="AN46" s="1">
        <v>99</v>
      </c>
      <c r="AO46" s="1">
        <v>47</v>
      </c>
      <c r="AP46" s="3">
        <v>78</v>
      </c>
      <c r="AQ46" s="1">
        <v>40</v>
      </c>
      <c r="AR46" s="1">
        <v>100</v>
      </c>
      <c r="AS46" s="1">
        <v>36</v>
      </c>
      <c r="AT46" s="1">
        <v>90</v>
      </c>
      <c r="AU46" s="1">
        <v>72</v>
      </c>
      <c r="AV46" s="1">
        <v>90</v>
      </c>
      <c r="AW46" s="1">
        <v>65</v>
      </c>
      <c r="AX46" s="1">
        <v>81</v>
      </c>
      <c r="AY46" s="30">
        <f t="shared" si="6"/>
        <v>2.1594478605958294</v>
      </c>
      <c r="AZ46" s="31">
        <f t="shared" si="7"/>
        <v>2.1177840625716415</v>
      </c>
      <c r="BA46" s="1">
        <v>24</v>
      </c>
      <c r="BB46" s="1">
        <v>80</v>
      </c>
      <c r="BC46" s="1">
        <v>14</v>
      </c>
      <c r="BD46" s="1">
        <v>93</v>
      </c>
      <c r="BE46" s="1">
        <v>10</v>
      </c>
      <c r="BF46" s="1">
        <v>67</v>
      </c>
      <c r="BG46" s="1">
        <v>21</v>
      </c>
      <c r="BH46" s="1">
        <v>70</v>
      </c>
      <c r="BI46" s="1">
        <v>29</v>
      </c>
      <c r="BJ46" s="1">
        <v>97</v>
      </c>
      <c r="BK46" s="1">
        <v>49</v>
      </c>
      <c r="BL46" s="3">
        <v>77</v>
      </c>
      <c r="BM46" s="1">
        <v>173</v>
      </c>
      <c r="BN46" s="3">
        <v>90</v>
      </c>
      <c r="BO46" s="21">
        <f t="shared" si="8"/>
        <v>84.803921568627445</v>
      </c>
      <c r="BP46" s="1">
        <v>50</v>
      </c>
      <c r="BQ46" s="3">
        <v>96</v>
      </c>
      <c r="BR46" s="23" t="s">
        <v>185</v>
      </c>
      <c r="BS46" s="3">
        <v>2.4</v>
      </c>
      <c r="BT46" s="1">
        <v>35</v>
      </c>
      <c r="BU46" s="3">
        <v>88</v>
      </c>
      <c r="BV46" s="3">
        <v>1.39</v>
      </c>
      <c r="BW46" s="1">
        <v>32</v>
      </c>
      <c r="BX46" s="3">
        <v>80</v>
      </c>
      <c r="BY46" s="3">
        <v>1.5</v>
      </c>
      <c r="BZ46" s="23" t="s">
        <v>211</v>
      </c>
      <c r="CA46" s="23" t="s">
        <v>211</v>
      </c>
      <c r="CB46" s="33">
        <v>5</v>
      </c>
      <c r="CC46" s="34">
        <v>2.8571428571428571E-2</v>
      </c>
      <c r="CD46" s="122">
        <v>90</v>
      </c>
      <c r="CE46" s="122">
        <v>93</v>
      </c>
      <c r="CF46" s="123">
        <v>94</v>
      </c>
      <c r="CG46" s="1">
        <v>100</v>
      </c>
      <c r="CH46" s="1" t="s">
        <v>140</v>
      </c>
      <c r="CI46" s="3" t="s">
        <v>136</v>
      </c>
      <c r="CJ46" s="3" t="s">
        <v>136</v>
      </c>
      <c r="CK46" s="3" t="s">
        <v>136</v>
      </c>
      <c r="CL46" s="1"/>
      <c r="CM46" s="3" t="s">
        <v>215</v>
      </c>
      <c r="CN46" s="3" t="s">
        <v>136</v>
      </c>
      <c r="CO46" s="3" t="s">
        <v>136</v>
      </c>
      <c r="CP46" s="3" t="s">
        <v>136</v>
      </c>
      <c r="CQ46" s="3">
        <v>1</v>
      </c>
      <c r="CR46" s="1"/>
      <c r="CS46" s="1" t="s">
        <v>138</v>
      </c>
      <c r="CT46" s="1" t="s">
        <v>138</v>
      </c>
      <c r="CU46" s="1" t="s">
        <v>138</v>
      </c>
      <c r="CV46" s="1" t="s">
        <v>138</v>
      </c>
      <c r="CW46" s="1" t="s">
        <v>138</v>
      </c>
    </row>
    <row r="47" spans="1:192" ht="60">
      <c r="A47" s="190">
        <v>20030</v>
      </c>
      <c r="B47" s="23" t="s">
        <v>127</v>
      </c>
      <c r="C47" s="1">
        <v>92.3</v>
      </c>
      <c r="D47" s="1">
        <v>9</v>
      </c>
      <c r="E47" s="1">
        <v>9</v>
      </c>
      <c r="F47" s="1">
        <v>18</v>
      </c>
      <c r="G47" s="1">
        <v>9.9499999999999993</v>
      </c>
      <c r="H47" s="1">
        <v>9.4</v>
      </c>
      <c r="I47" s="15">
        <v>8.8000000000000007</v>
      </c>
      <c r="J47" s="1" t="s">
        <v>128</v>
      </c>
      <c r="K47" s="26">
        <v>7.0019999999999999E-2</v>
      </c>
      <c r="L47" s="26">
        <v>1.098E-2</v>
      </c>
      <c r="M47" s="26">
        <v>1.4330000000000001E-2</v>
      </c>
      <c r="N47" s="74">
        <v>3.2000000000000001E-2</v>
      </c>
      <c r="O47" s="74">
        <v>2.4E-2</v>
      </c>
      <c r="P47" s="74">
        <v>1.2E-2</v>
      </c>
      <c r="Q47" s="27">
        <v>0.90100000000000002</v>
      </c>
      <c r="R47" s="27">
        <v>1.7000000000000001E-2</v>
      </c>
      <c r="S47" s="27">
        <v>6.0000000000000001E-3</v>
      </c>
      <c r="T47" s="27">
        <v>2.9000000000000001E-2</v>
      </c>
      <c r="U47" s="27">
        <v>4.7E-2</v>
      </c>
      <c r="V47" s="27">
        <v>0</v>
      </c>
      <c r="W47" s="28">
        <v>89</v>
      </c>
      <c r="X47" s="18">
        <v>0.88571428571428568</v>
      </c>
      <c r="Y47" s="28">
        <v>155</v>
      </c>
      <c r="Z47" s="18">
        <v>1.7000000000000001E-2</v>
      </c>
      <c r="AA47" s="18">
        <v>6.0000000000000001E-3</v>
      </c>
      <c r="AB47" s="18">
        <v>2.9000000000000001E-2</v>
      </c>
      <c r="AC47" s="18">
        <v>4.5999999999999999E-2</v>
      </c>
      <c r="AD47" s="27">
        <f t="shared" si="5"/>
        <v>5.1999999999999998E-2</v>
      </c>
      <c r="AE47" s="18">
        <v>0</v>
      </c>
      <c r="AF47" s="1" t="s">
        <v>167</v>
      </c>
      <c r="AG47" s="1" t="s">
        <v>130</v>
      </c>
      <c r="AH47" s="1" t="s">
        <v>131</v>
      </c>
      <c r="AI47" s="1">
        <v>16</v>
      </c>
      <c r="AJ47" s="1">
        <v>53</v>
      </c>
      <c r="AK47" s="1">
        <v>91</v>
      </c>
      <c r="AL47" s="1" t="s">
        <v>132</v>
      </c>
      <c r="AM47" s="1">
        <v>165</v>
      </c>
      <c r="AN47" s="1">
        <v>94</v>
      </c>
      <c r="AO47" s="1">
        <v>47</v>
      </c>
      <c r="AP47" s="3">
        <v>78</v>
      </c>
      <c r="AQ47" s="1">
        <v>37</v>
      </c>
      <c r="AR47" s="1">
        <v>93</v>
      </c>
      <c r="AS47" s="1">
        <v>34</v>
      </c>
      <c r="AT47" s="1">
        <v>85</v>
      </c>
      <c r="AU47" s="1">
        <v>74</v>
      </c>
      <c r="AV47" s="1">
        <v>93</v>
      </c>
      <c r="AW47" s="1">
        <v>69</v>
      </c>
      <c r="AX47" s="1">
        <v>86</v>
      </c>
      <c r="AY47" s="30">
        <f t="shared" si="6"/>
        <v>2.556110368994128</v>
      </c>
      <c r="AZ47" s="31">
        <f t="shared" si="7"/>
        <v>2.497916765982735</v>
      </c>
      <c r="BA47" s="1">
        <v>24</v>
      </c>
      <c r="BB47" s="1">
        <v>80</v>
      </c>
      <c r="BC47" s="1">
        <v>12</v>
      </c>
      <c r="BD47" s="1">
        <v>80</v>
      </c>
      <c r="BE47" s="1">
        <v>12</v>
      </c>
      <c r="BF47" s="1">
        <v>80</v>
      </c>
      <c r="BG47" s="1">
        <v>21</v>
      </c>
      <c r="BH47" s="1">
        <v>70</v>
      </c>
      <c r="BI47" s="1">
        <v>30</v>
      </c>
      <c r="BJ47" s="1">
        <v>100</v>
      </c>
      <c r="BK47" s="1">
        <v>52</v>
      </c>
      <c r="BL47" s="3">
        <v>81</v>
      </c>
      <c r="BM47" s="1">
        <v>162</v>
      </c>
      <c r="BN47" s="3">
        <v>80</v>
      </c>
      <c r="BO47" s="21">
        <f t="shared" si="8"/>
        <v>79.411764705882348</v>
      </c>
      <c r="BP47" s="1">
        <v>47</v>
      </c>
      <c r="BQ47" s="3">
        <v>90</v>
      </c>
      <c r="BR47" s="23" t="s">
        <v>133</v>
      </c>
      <c r="BS47" s="3">
        <v>3.4</v>
      </c>
      <c r="BT47" s="1">
        <v>34</v>
      </c>
      <c r="BU47" s="3">
        <v>85</v>
      </c>
      <c r="BV47" s="3">
        <v>1.1000000000000001</v>
      </c>
      <c r="BW47" s="1">
        <v>36</v>
      </c>
      <c r="BX47" s="3">
        <v>90</v>
      </c>
      <c r="BY47" s="3">
        <v>2.56</v>
      </c>
      <c r="BZ47" s="23" t="s">
        <v>134</v>
      </c>
      <c r="CA47" s="111" t="s">
        <v>204</v>
      </c>
      <c r="CB47" s="33">
        <v>5</v>
      </c>
      <c r="CC47" s="34">
        <v>2.8571428571428571E-2</v>
      </c>
      <c r="CD47" s="122">
        <v>97</v>
      </c>
      <c r="CE47" s="122">
        <v>97</v>
      </c>
      <c r="CF47" s="123">
        <v>99</v>
      </c>
      <c r="CG47" s="1">
        <v>55.6</v>
      </c>
      <c r="CH47" s="1" t="s">
        <v>153</v>
      </c>
      <c r="CI47" s="3" t="s">
        <v>136</v>
      </c>
      <c r="CJ47" s="3" t="s">
        <v>136</v>
      </c>
      <c r="CK47" s="3" t="s">
        <v>136</v>
      </c>
      <c r="CL47" s="1" t="s">
        <v>151</v>
      </c>
      <c r="CM47" s="3" t="s">
        <v>212</v>
      </c>
      <c r="CN47" s="3" t="s">
        <v>136</v>
      </c>
      <c r="CO47" s="3" t="s">
        <v>136</v>
      </c>
      <c r="CP47" s="3" t="s">
        <v>136</v>
      </c>
      <c r="CQ47" s="3">
        <v>1</v>
      </c>
      <c r="CR47" s="1"/>
      <c r="CS47" s="1" t="s">
        <v>138</v>
      </c>
      <c r="CT47" s="1" t="s">
        <v>138</v>
      </c>
      <c r="CU47" s="1" t="s">
        <v>138</v>
      </c>
      <c r="CV47" s="1" t="s">
        <v>138</v>
      </c>
      <c r="CW47" s="1" t="s">
        <v>138</v>
      </c>
    </row>
    <row r="48" spans="1:192" ht="60">
      <c r="A48" s="190">
        <v>20031</v>
      </c>
      <c r="B48" s="23" t="s">
        <v>166</v>
      </c>
      <c r="C48" s="1">
        <v>86.6</v>
      </c>
      <c r="D48" s="1">
        <v>7</v>
      </c>
      <c r="E48" s="1">
        <v>9</v>
      </c>
      <c r="F48" s="1">
        <v>16</v>
      </c>
      <c r="G48" s="1">
        <v>9.5</v>
      </c>
      <c r="H48" s="1">
        <v>8.6</v>
      </c>
      <c r="I48" s="1">
        <v>8.9</v>
      </c>
      <c r="J48" s="1" t="s">
        <v>210</v>
      </c>
      <c r="K48" s="26">
        <v>6.4070000000000002E-2</v>
      </c>
      <c r="L48" s="26">
        <v>8.0199999999999994E-3</v>
      </c>
      <c r="M48" s="26">
        <v>1.2120000000000001E-2</v>
      </c>
      <c r="N48" s="74">
        <v>3.5999999999999997E-2</v>
      </c>
      <c r="O48" s="74">
        <v>1.4999999999999999E-2</v>
      </c>
      <c r="P48" s="74">
        <v>1.0999999999999999E-2</v>
      </c>
      <c r="Q48" s="27">
        <v>0.75700000000000001</v>
      </c>
      <c r="R48" s="27">
        <v>2.3E-2</v>
      </c>
      <c r="S48" s="27">
        <v>1.7000000000000001E-2</v>
      </c>
      <c r="T48" s="27">
        <v>6.0000000000000001E-3</v>
      </c>
      <c r="U48" s="27">
        <v>0.191</v>
      </c>
      <c r="V48" s="27">
        <v>6.0000000000000001E-3</v>
      </c>
      <c r="W48" s="52">
        <v>75</v>
      </c>
      <c r="X48" s="18">
        <v>0.74857142857142855</v>
      </c>
      <c r="Y48" s="28">
        <v>131</v>
      </c>
      <c r="Z48" s="27">
        <v>2.3E-2</v>
      </c>
      <c r="AA48" s="27">
        <v>1.7000000000000001E-2</v>
      </c>
      <c r="AB48" s="27">
        <v>6.0000000000000001E-3</v>
      </c>
      <c r="AC48" s="27">
        <v>0.189</v>
      </c>
      <c r="AD48" s="27">
        <f t="shared" si="5"/>
        <v>0.20600000000000002</v>
      </c>
      <c r="AE48" s="27">
        <v>6.0000000000000001E-3</v>
      </c>
      <c r="AF48" s="1" t="s">
        <v>167</v>
      </c>
      <c r="AG48" s="1" t="s">
        <v>130</v>
      </c>
      <c r="AH48" s="1" t="s">
        <v>146</v>
      </c>
      <c r="AI48" s="1">
        <v>21</v>
      </c>
      <c r="AJ48" s="1">
        <v>61</v>
      </c>
      <c r="AK48" s="1">
        <v>171</v>
      </c>
      <c r="AL48" s="1" t="s">
        <v>132</v>
      </c>
      <c r="AM48" s="1">
        <v>158</v>
      </c>
      <c r="AN48" s="1">
        <v>90</v>
      </c>
      <c r="AO48" s="1">
        <v>28</v>
      </c>
      <c r="AP48" s="3">
        <v>47</v>
      </c>
      <c r="AQ48" s="1">
        <v>38</v>
      </c>
      <c r="AR48" s="1">
        <v>95</v>
      </c>
      <c r="AS48" s="1">
        <v>38</v>
      </c>
      <c r="AT48" s="1">
        <v>95</v>
      </c>
      <c r="AU48" s="1">
        <v>76</v>
      </c>
      <c r="AV48" s="1">
        <v>95</v>
      </c>
      <c r="AW48" s="1">
        <v>74</v>
      </c>
      <c r="AX48" s="1">
        <v>93</v>
      </c>
      <c r="AY48" s="30">
        <f t="shared" si="6"/>
        <v>3.1206446551306426</v>
      </c>
      <c r="AZ48" s="31">
        <f t="shared" si="7"/>
        <v>3.0305733404743593</v>
      </c>
      <c r="BA48" s="1">
        <v>29</v>
      </c>
      <c r="BB48" s="1">
        <v>97</v>
      </c>
      <c r="BC48" s="1">
        <v>15</v>
      </c>
      <c r="BD48" s="1">
        <v>100</v>
      </c>
      <c r="BE48" s="1">
        <v>14</v>
      </c>
      <c r="BF48" s="1">
        <v>93</v>
      </c>
      <c r="BG48" s="1">
        <v>29</v>
      </c>
      <c r="BH48" s="1">
        <v>97</v>
      </c>
      <c r="BI48" s="1">
        <v>30</v>
      </c>
      <c r="BJ48" s="1">
        <v>100</v>
      </c>
      <c r="BK48" s="1">
        <v>57</v>
      </c>
      <c r="BL48" s="3">
        <v>89</v>
      </c>
      <c r="BM48" s="1">
        <v>180</v>
      </c>
      <c r="BN48" s="3">
        <v>92</v>
      </c>
      <c r="BO48" s="21">
        <f t="shared" si="8"/>
        <v>88.235294117647058</v>
      </c>
      <c r="BP48" s="1">
        <v>52</v>
      </c>
      <c r="BQ48" s="3">
        <v>100</v>
      </c>
      <c r="BR48" s="23" t="s">
        <v>185</v>
      </c>
      <c r="BS48" s="3">
        <v>2.8</v>
      </c>
      <c r="BT48" s="1">
        <v>39</v>
      </c>
      <c r="BU48" s="3">
        <v>93</v>
      </c>
      <c r="BV48" s="3">
        <v>3</v>
      </c>
      <c r="BW48" s="1">
        <v>37</v>
      </c>
      <c r="BX48" s="3">
        <v>98</v>
      </c>
      <c r="BY48" s="3">
        <v>1.82</v>
      </c>
      <c r="BZ48" s="23" t="s">
        <v>194</v>
      </c>
      <c r="CA48" s="23" t="s">
        <v>194</v>
      </c>
      <c r="CB48" s="33">
        <v>8</v>
      </c>
      <c r="CC48" s="34">
        <v>4.5714285714285714E-2</v>
      </c>
      <c r="CD48" s="3">
        <v>96</v>
      </c>
      <c r="CE48" s="3">
        <v>99</v>
      </c>
      <c r="CF48" s="3">
        <v>97</v>
      </c>
      <c r="CG48" s="1">
        <v>100</v>
      </c>
      <c r="CH48" s="1" t="s">
        <v>140</v>
      </c>
      <c r="CI48" s="3" t="s">
        <v>188</v>
      </c>
      <c r="CJ48" s="13"/>
      <c r="CK48" s="13"/>
      <c r="CL48" s="1" t="s">
        <v>138</v>
      </c>
      <c r="CM48" s="3" t="s">
        <v>216</v>
      </c>
      <c r="CN48" s="3" t="s">
        <v>188</v>
      </c>
      <c r="CO48" s="13"/>
      <c r="CP48" s="13"/>
      <c r="CQ48" s="13"/>
      <c r="CR48" s="1" t="s">
        <v>138</v>
      </c>
      <c r="CS48" s="1" t="s">
        <v>138</v>
      </c>
      <c r="CT48" s="1" t="s">
        <v>138</v>
      </c>
      <c r="CU48" s="1" t="s">
        <v>138</v>
      </c>
      <c r="CV48" s="1" t="s">
        <v>138</v>
      </c>
      <c r="CW48" s="1" t="s">
        <v>138</v>
      </c>
      <c r="DJ48" s="3"/>
    </row>
    <row r="49" spans="1:192" ht="60">
      <c r="A49" s="190">
        <v>20032</v>
      </c>
      <c r="B49" s="23" t="s">
        <v>166</v>
      </c>
      <c r="C49" s="1">
        <v>82.9</v>
      </c>
      <c r="D49" s="1">
        <v>9</v>
      </c>
      <c r="E49" s="1">
        <v>9</v>
      </c>
      <c r="F49" s="1">
        <v>18</v>
      </c>
      <c r="G49" s="1">
        <v>9.15</v>
      </c>
      <c r="H49" s="1">
        <v>5.6</v>
      </c>
      <c r="I49" s="1">
        <v>8.6999999999999993</v>
      </c>
      <c r="J49" s="1" t="s">
        <v>145</v>
      </c>
      <c r="K49" s="26">
        <v>3.9460000000000002E-2</v>
      </c>
      <c r="L49" s="26">
        <v>1.528E-2</v>
      </c>
      <c r="M49" s="26">
        <v>1.55E-2</v>
      </c>
      <c r="N49" s="27">
        <v>3.9460000000000002E-2</v>
      </c>
      <c r="O49" s="27">
        <v>1.528E-2</v>
      </c>
      <c r="P49" s="27">
        <v>1.55E-2</v>
      </c>
      <c r="Q49" s="27">
        <v>0.81</v>
      </c>
      <c r="R49" s="27">
        <v>1.2E-2</v>
      </c>
      <c r="S49" s="27">
        <v>5.3999999999999999E-2</v>
      </c>
      <c r="T49" s="27">
        <v>1.2E-2</v>
      </c>
      <c r="U49" s="27">
        <v>0.113</v>
      </c>
      <c r="V49" s="27">
        <v>0</v>
      </c>
      <c r="W49" s="28">
        <v>78</v>
      </c>
      <c r="X49" s="27">
        <v>0.77714285714285714</v>
      </c>
      <c r="Y49" s="52">
        <v>136</v>
      </c>
      <c r="Z49" s="18">
        <v>1.0999999999999999E-2</v>
      </c>
      <c r="AA49" s="18">
        <v>5.0999999999999997E-2</v>
      </c>
      <c r="AB49" s="18">
        <v>1.0999999999999999E-2</v>
      </c>
      <c r="AC49" s="18">
        <v>0.109</v>
      </c>
      <c r="AD49" s="27">
        <f t="shared" si="5"/>
        <v>0.16</v>
      </c>
      <c r="AE49" s="18">
        <v>0</v>
      </c>
      <c r="AF49" s="1" t="s">
        <v>129</v>
      </c>
      <c r="AG49" s="1" t="s">
        <v>130</v>
      </c>
      <c r="AH49" s="1" t="s">
        <v>146</v>
      </c>
      <c r="AI49" s="1">
        <v>16</v>
      </c>
      <c r="AJ49" s="1">
        <v>46</v>
      </c>
      <c r="AK49" s="1">
        <v>81</v>
      </c>
      <c r="AL49" s="1" t="s">
        <v>132</v>
      </c>
      <c r="AM49" s="1">
        <v>148</v>
      </c>
      <c r="AN49" s="1">
        <v>85</v>
      </c>
      <c r="AO49" s="1">
        <v>21</v>
      </c>
      <c r="AP49" s="3">
        <v>35</v>
      </c>
      <c r="AQ49" s="1">
        <v>37</v>
      </c>
      <c r="AR49" s="1">
        <v>93</v>
      </c>
      <c r="AS49" s="1">
        <v>35</v>
      </c>
      <c r="AT49" s="1">
        <v>88</v>
      </c>
      <c r="AU49" s="1">
        <v>77</v>
      </c>
      <c r="AV49" s="1">
        <v>96</v>
      </c>
      <c r="AW49" s="1">
        <v>68</v>
      </c>
      <c r="AX49" s="1">
        <v>85</v>
      </c>
      <c r="AY49" s="30">
        <f t="shared" si="6"/>
        <v>2.7871194607459593</v>
      </c>
      <c r="AZ49" s="31">
        <f t="shared" si="7"/>
        <v>2.7063529417215433</v>
      </c>
      <c r="BA49" s="1">
        <v>27</v>
      </c>
      <c r="BB49" s="1">
        <v>90</v>
      </c>
      <c r="BC49" s="1">
        <v>15</v>
      </c>
      <c r="BD49" s="1">
        <v>100</v>
      </c>
      <c r="BE49" s="1">
        <v>12</v>
      </c>
      <c r="BF49" s="1">
        <v>80</v>
      </c>
      <c r="BG49" s="1">
        <v>20</v>
      </c>
      <c r="BH49" s="1">
        <v>67</v>
      </c>
      <c r="BI49" s="1">
        <v>20</v>
      </c>
      <c r="BJ49" s="1">
        <v>100</v>
      </c>
      <c r="BK49" s="1">
        <v>60</v>
      </c>
      <c r="BL49" s="3">
        <v>94</v>
      </c>
      <c r="BM49" s="1">
        <v>170</v>
      </c>
      <c r="BN49" s="3">
        <v>85</v>
      </c>
      <c r="BO49" s="21">
        <f t="shared" si="8"/>
        <v>83.333333333333343</v>
      </c>
      <c r="BP49" s="1">
        <v>51</v>
      </c>
      <c r="BQ49" s="3">
        <v>98</v>
      </c>
      <c r="BR49" s="23" t="s">
        <v>133</v>
      </c>
      <c r="BS49" s="3">
        <v>2.6</v>
      </c>
      <c r="BT49" s="1">
        <v>37</v>
      </c>
      <c r="BU49" s="3">
        <v>93</v>
      </c>
      <c r="BV49" s="3">
        <v>2.4700000000000002</v>
      </c>
      <c r="BW49" s="1">
        <v>39</v>
      </c>
      <c r="BX49" s="3">
        <v>98</v>
      </c>
      <c r="BY49" s="3">
        <v>2.56</v>
      </c>
      <c r="BZ49" s="23" t="s">
        <v>211</v>
      </c>
      <c r="CA49" s="23" t="s">
        <v>147</v>
      </c>
      <c r="CB49" s="33">
        <v>19</v>
      </c>
      <c r="CC49" s="34">
        <v>0.10857142857142857</v>
      </c>
      <c r="CD49" s="122">
        <v>97</v>
      </c>
      <c r="CE49" s="123">
        <v>98</v>
      </c>
      <c r="CF49" s="123">
        <v>98</v>
      </c>
      <c r="CG49" s="1">
        <v>100</v>
      </c>
      <c r="CH49" s="1" t="s">
        <v>140</v>
      </c>
      <c r="CI49" s="3" t="s">
        <v>188</v>
      </c>
      <c r="CJ49" s="13"/>
      <c r="CK49" s="13"/>
      <c r="CL49" s="1" t="s">
        <v>138</v>
      </c>
      <c r="CM49" s="3" t="s">
        <v>137</v>
      </c>
      <c r="CN49" s="3" t="s">
        <v>188</v>
      </c>
      <c r="CO49" s="13"/>
      <c r="CP49" s="13"/>
      <c r="CQ49" s="13"/>
      <c r="CR49" s="1" t="s">
        <v>138</v>
      </c>
      <c r="CS49" s="1" t="s">
        <v>138</v>
      </c>
      <c r="CT49" s="1" t="s">
        <v>138</v>
      </c>
      <c r="CU49" s="1" t="s">
        <v>138</v>
      </c>
      <c r="CV49" s="1" t="s">
        <v>138</v>
      </c>
      <c r="CW49" s="1" t="s">
        <v>138</v>
      </c>
      <c r="DJ49" s="3"/>
    </row>
    <row r="50" spans="1:192" ht="51.75">
      <c r="A50" s="190">
        <v>20032</v>
      </c>
      <c r="B50" s="36" t="s">
        <v>150</v>
      </c>
      <c r="C50" s="39">
        <v>90</v>
      </c>
      <c r="D50" s="39">
        <v>10</v>
      </c>
      <c r="E50" s="39">
        <v>9</v>
      </c>
      <c r="F50" s="39">
        <v>19</v>
      </c>
      <c r="G50" s="39">
        <v>10</v>
      </c>
      <c r="H50" s="39">
        <v>7.4</v>
      </c>
      <c r="I50" s="39">
        <v>8.6</v>
      </c>
      <c r="J50" s="39" t="s">
        <v>128</v>
      </c>
      <c r="K50" s="40">
        <v>3.9739999999999998E-2</v>
      </c>
      <c r="L50" s="40">
        <v>1.562E-2</v>
      </c>
      <c r="M50" s="40">
        <v>1.2500000000000001E-2</v>
      </c>
      <c r="N50" s="40">
        <v>3.9739999999999998E-2</v>
      </c>
      <c r="O50" s="40">
        <v>1.562E-2</v>
      </c>
      <c r="P50" s="40">
        <v>1.2500000000000001E-2</v>
      </c>
      <c r="Q50" s="148">
        <v>0.81699999999999995</v>
      </c>
      <c r="R50" s="148">
        <v>6.0000000000000001E-3</v>
      </c>
      <c r="S50" s="148">
        <v>3.5999999999999997E-2</v>
      </c>
      <c r="T50" s="148">
        <v>2.4E-2</v>
      </c>
      <c r="U50" s="148">
        <v>0.11799999999999999</v>
      </c>
      <c r="V50" s="148">
        <v>0</v>
      </c>
      <c r="W50" s="43">
        <v>79</v>
      </c>
      <c r="X50" s="148">
        <v>0.78900000000000003</v>
      </c>
      <c r="Y50" s="57">
        <v>138</v>
      </c>
      <c r="Z50" s="194">
        <v>6.0000000000000001E-3</v>
      </c>
      <c r="AA50" s="194">
        <v>3.4000000000000002E-2</v>
      </c>
      <c r="AB50" s="194">
        <v>2.3E-2</v>
      </c>
      <c r="AC50" s="194">
        <v>0.114</v>
      </c>
      <c r="AD50" s="148">
        <f t="shared" si="5"/>
        <v>0.14800000000000002</v>
      </c>
      <c r="AE50" s="194">
        <v>0</v>
      </c>
      <c r="AF50" s="39" t="s">
        <v>129</v>
      </c>
      <c r="AG50" s="39" t="s">
        <v>130</v>
      </c>
      <c r="AH50" s="39" t="s">
        <v>146</v>
      </c>
      <c r="AI50" s="39">
        <v>16</v>
      </c>
      <c r="AJ50" s="39">
        <v>54</v>
      </c>
      <c r="AK50" s="39">
        <v>168</v>
      </c>
      <c r="AL50" s="39" t="s">
        <v>132</v>
      </c>
      <c r="AM50" s="39" t="s">
        <v>165</v>
      </c>
      <c r="AN50" s="39" t="s">
        <v>165</v>
      </c>
      <c r="AO50" s="39" t="s">
        <v>165</v>
      </c>
      <c r="AP50" s="2" t="s">
        <v>165</v>
      </c>
      <c r="AQ50" s="39" t="s">
        <v>165</v>
      </c>
      <c r="AR50" s="39" t="s">
        <v>165</v>
      </c>
      <c r="AS50" s="39" t="s">
        <v>165</v>
      </c>
      <c r="AT50" s="39" t="s">
        <v>165</v>
      </c>
      <c r="AU50" s="39" t="s">
        <v>165</v>
      </c>
      <c r="AV50" s="39" t="s">
        <v>165</v>
      </c>
      <c r="AW50" s="39" t="s">
        <v>165</v>
      </c>
      <c r="AX50" s="39" t="s">
        <v>165</v>
      </c>
      <c r="AY50" s="30" t="e">
        <f t="shared" si="6"/>
        <v>#VALUE!</v>
      </c>
      <c r="AZ50" s="31" t="e">
        <f t="shared" si="7"/>
        <v>#VALUE!</v>
      </c>
      <c r="BA50" s="39">
        <v>28</v>
      </c>
      <c r="BB50" s="39">
        <v>93</v>
      </c>
      <c r="BC50" s="39">
        <v>15</v>
      </c>
      <c r="BD50" s="39">
        <v>100</v>
      </c>
      <c r="BE50" s="39">
        <v>13</v>
      </c>
      <c r="BF50" s="39">
        <v>87</v>
      </c>
      <c r="BG50" s="39">
        <v>21</v>
      </c>
      <c r="BH50" s="39">
        <v>70</v>
      </c>
      <c r="BI50" s="39">
        <v>30</v>
      </c>
      <c r="BJ50" s="39">
        <v>100</v>
      </c>
      <c r="BK50" s="39">
        <v>57</v>
      </c>
      <c r="BL50" s="2">
        <v>89</v>
      </c>
      <c r="BM50" s="39">
        <v>174</v>
      </c>
      <c r="BN50" s="2">
        <v>87</v>
      </c>
      <c r="BO50" s="47">
        <f t="shared" si="8"/>
        <v>85.294117647058826</v>
      </c>
      <c r="BP50" s="39">
        <v>50</v>
      </c>
      <c r="BQ50" s="2">
        <v>96</v>
      </c>
      <c r="BR50" s="36" t="s">
        <v>139</v>
      </c>
      <c r="BS50" s="2">
        <v>2.4</v>
      </c>
      <c r="BT50" s="39">
        <v>35</v>
      </c>
      <c r="BU50" s="2">
        <v>88</v>
      </c>
      <c r="BV50" s="2">
        <v>3</v>
      </c>
      <c r="BW50" s="39">
        <v>38</v>
      </c>
      <c r="BX50" s="2">
        <v>95</v>
      </c>
      <c r="BY50" s="2">
        <v>2.5499999999999998</v>
      </c>
      <c r="BZ50" s="36" t="s">
        <v>134</v>
      </c>
      <c r="CA50" s="36" t="s">
        <v>134</v>
      </c>
      <c r="CB50" s="135" t="s">
        <v>217</v>
      </c>
      <c r="CC50" s="135" t="s">
        <v>217</v>
      </c>
      <c r="CD50" s="195" t="s">
        <v>165</v>
      </c>
      <c r="CE50" s="196" t="s">
        <v>165</v>
      </c>
      <c r="CF50" s="196" t="s">
        <v>165</v>
      </c>
      <c r="CG50" s="39">
        <v>90</v>
      </c>
      <c r="CH50" s="39" t="s">
        <v>129</v>
      </c>
      <c r="CI50" s="2" t="s">
        <v>174</v>
      </c>
      <c r="CJ50" s="13"/>
      <c r="CK50" s="13"/>
      <c r="CL50" s="13"/>
      <c r="CM50" s="2" t="s">
        <v>175</v>
      </c>
      <c r="CN50" s="2" t="s">
        <v>174</v>
      </c>
      <c r="CO50" s="13"/>
      <c r="CP50" s="13"/>
      <c r="CQ50" s="13"/>
      <c r="CR50" s="39"/>
      <c r="CS50" s="59" t="s">
        <v>140</v>
      </c>
      <c r="CT50" s="59" t="s">
        <v>140</v>
      </c>
      <c r="CU50" s="2">
        <v>100</v>
      </c>
      <c r="CV50" s="2" t="s">
        <v>165</v>
      </c>
      <c r="CW50" s="2" t="s">
        <v>165</v>
      </c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92" ht="60">
      <c r="A51" s="190">
        <v>20033</v>
      </c>
      <c r="B51" s="23" t="s">
        <v>166</v>
      </c>
      <c r="C51" s="1">
        <v>82.9</v>
      </c>
      <c r="D51" s="1">
        <v>8</v>
      </c>
      <c r="E51" s="1">
        <v>8</v>
      </c>
      <c r="F51" s="1">
        <v>16</v>
      </c>
      <c r="G51" s="1">
        <v>9.15</v>
      </c>
      <c r="H51" s="1">
        <v>7</v>
      </c>
      <c r="I51" s="1">
        <v>9.3000000000000007</v>
      </c>
      <c r="J51" s="1" t="s">
        <v>128</v>
      </c>
      <c r="K51" s="26">
        <v>3.7060000000000003E-2</v>
      </c>
      <c r="L51" s="26">
        <v>1.8790000000000001E-2</v>
      </c>
      <c r="M51" s="26">
        <v>1.9089999999999999E-2</v>
      </c>
      <c r="N51" s="27">
        <v>3.7060000000000003E-2</v>
      </c>
      <c r="O51" s="27">
        <v>1.8790000000000001E-2</v>
      </c>
      <c r="P51" s="27">
        <v>1.9089999999999999E-2</v>
      </c>
      <c r="Q51" s="27">
        <v>0.89</v>
      </c>
      <c r="R51" s="27">
        <v>6.0000000000000001E-3</v>
      </c>
      <c r="S51" s="27">
        <v>3.5000000000000003E-2</v>
      </c>
      <c r="T51" s="27">
        <v>6.0000000000000001E-3</v>
      </c>
      <c r="U51" s="27">
        <v>6.4000000000000001E-2</v>
      </c>
      <c r="V51" s="27">
        <v>0</v>
      </c>
      <c r="W51" s="52">
        <v>87</v>
      </c>
      <c r="X51" s="18">
        <v>0.87428571428571433</v>
      </c>
      <c r="Y51" s="28">
        <v>153</v>
      </c>
      <c r="Z51" s="27">
        <v>6.0000000000000001E-3</v>
      </c>
      <c r="AA51" s="27">
        <v>3.4000000000000002E-2</v>
      </c>
      <c r="AB51" s="27">
        <v>6.0000000000000001E-3</v>
      </c>
      <c r="AC51" s="27">
        <v>6.3E-2</v>
      </c>
      <c r="AD51" s="27">
        <f t="shared" si="5"/>
        <v>9.7000000000000003E-2</v>
      </c>
      <c r="AE51" s="27">
        <v>0</v>
      </c>
      <c r="AF51" s="1" t="s">
        <v>129</v>
      </c>
      <c r="AG51" s="1" t="s">
        <v>130</v>
      </c>
      <c r="AH51" s="1" t="s">
        <v>131</v>
      </c>
      <c r="AI51" s="1">
        <v>12</v>
      </c>
      <c r="AJ51" s="1">
        <v>48</v>
      </c>
      <c r="AK51" s="1">
        <v>67</v>
      </c>
      <c r="AL51" s="1" t="s">
        <v>132</v>
      </c>
      <c r="AM51" s="1">
        <v>158</v>
      </c>
      <c r="AN51" s="1">
        <v>90</v>
      </c>
      <c r="AO51" s="1">
        <v>18</v>
      </c>
      <c r="AP51" s="3">
        <v>30</v>
      </c>
      <c r="AQ51" s="1">
        <v>34</v>
      </c>
      <c r="AR51" s="1">
        <v>85</v>
      </c>
      <c r="AS51" s="1">
        <v>35</v>
      </c>
      <c r="AT51" s="1">
        <v>88</v>
      </c>
      <c r="AU51" s="1">
        <v>57</v>
      </c>
      <c r="AV51" s="1">
        <v>71</v>
      </c>
      <c r="AW51" s="1">
        <v>73</v>
      </c>
      <c r="AX51" s="1">
        <v>91</v>
      </c>
      <c r="AY51" s="30">
        <f t="shared" si="6"/>
        <v>1.8941397532458888</v>
      </c>
      <c r="AZ51" s="31">
        <f t="shared" si="7"/>
        <v>1.8560405122236894</v>
      </c>
      <c r="BA51" s="1">
        <v>29</v>
      </c>
      <c r="BB51" s="1">
        <v>97</v>
      </c>
      <c r="BC51" s="1">
        <v>15</v>
      </c>
      <c r="BD51" s="1">
        <v>100</v>
      </c>
      <c r="BE51" s="1">
        <v>14</v>
      </c>
      <c r="BF51" s="1">
        <v>93</v>
      </c>
      <c r="BG51" s="1">
        <v>23</v>
      </c>
      <c r="BH51" s="1">
        <v>77</v>
      </c>
      <c r="BI51" s="1">
        <v>30</v>
      </c>
      <c r="BJ51" s="1">
        <v>100</v>
      </c>
      <c r="BK51" s="1">
        <v>54</v>
      </c>
      <c r="BL51" s="3">
        <v>84</v>
      </c>
      <c r="BM51" s="1">
        <v>171</v>
      </c>
      <c r="BN51" s="3">
        <v>86</v>
      </c>
      <c r="BO51" s="21">
        <f t="shared" si="8"/>
        <v>83.82352941176471</v>
      </c>
      <c r="BP51" s="1">
        <v>51</v>
      </c>
      <c r="BQ51" s="3">
        <v>98</v>
      </c>
      <c r="BR51" s="23" t="s">
        <v>133</v>
      </c>
      <c r="BS51" s="3">
        <v>3.2</v>
      </c>
      <c r="BT51" s="1">
        <v>38</v>
      </c>
      <c r="BU51" s="3">
        <v>95</v>
      </c>
      <c r="BV51" s="3">
        <v>3</v>
      </c>
      <c r="BW51" s="1">
        <v>38</v>
      </c>
      <c r="BX51" s="3">
        <v>95</v>
      </c>
      <c r="BY51" s="3">
        <v>5.19</v>
      </c>
      <c r="BZ51" s="23" t="s">
        <v>134</v>
      </c>
      <c r="CA51" s="23" t="s">
        <v>134</v>
      </c>
      <c r="CB51" s="33">
        <v>0</v>
      </c>
      <c r="CC51" s="34">
        <v>0</v>
      </c>
      <c r="CD51" s="3">
        <v>93</v>
      </c>
      <c r="CE51" s="3">
        <v>94</v>
      </c>
      <c r="CF51" s="3">
        <v>93</v>
      </c>
      <c r="CG51" s="1">
        <v>100</v>
      </c>
      <c r="CH51" s="1" t="s">
        <v>140</v>
      </c>
      <c r="CI51" s="3" t="s">
        <v>188</v>
      </c>
      <c r="CJ51" s="13"/>
      <c r="CK51" s="13"/>
      <c r="CL51" s="1" t="s">
        <v>138</v>
      </c>
      <c r="CM51" s="3" t="s">
        <v>218</v>
      </c>
      <c r="CN51" s="3" t="s">
        <v>188</v>
      </c>
      <c r="CO51" s="13"/>
      <c r="CP51" s="13"/>
      <c r="CQ51" s="13"/>
      <c r="CR51" s="1" t="s">
        <v>138</v>
      </c>
      <c r="CS51" s="1" t="s">
        <v>138</v>
      </c>
      <c r="CT51" s="1" t="s">
        <v>138</v>
      </c>
      <c r="CU51" s="1" t="s">
        <v>138</v>
      </c>
      <c r="CV51" s="1" t="s">
        <v>138</v>
      </c>
      <c r="CW51" s="1" t="s">
        <v>138</v>
      </c>
      <c r="DJ51" s="3"/>
    </row>
    <row r="52" spans="1:192" ht="60">
      <c r="A52" s="190">
        <v>20034</v>
      </c>
      <c r="B52" s="23" t="s">
        <v>127</v>
      </c>
      <c r="C52" s="1">
        <v>91.5</v>
      </c>
      <c r="D52" s="1">
        <v>9</v>
      </c>
      <c r="E52" s="1">
        <v>9</v>
      </c>
      <c r="F52" s="1">
        <v>18</v>
      </c>
      <c r="G52" s="1">
        <v>8.85</v>
      </c>
      <c r="H52" s="1">
        <v>9.6</v>
      </c>
      <c r="I52" s="15">
        <v>9.3000000000000007</v>
      </c>
      <c r="J52" s="1" t="s">
        <v>128</v>
      </c>
      <c r="K52" s="26">
        <v>7.5240000000000001E-2</v>
      </c>
      <c r="L52" s="26">
        <v>1.8169999999999999E-2</v>
      </c>
      <c r="M52" s="26">
        <v>1.2899999999999999E-3</v>
      </c>
      <c r="N52" s="74">
        <v>3.5000000000000003E-2</v>
      </c>
      <c r="O52" s="74">
        <v>2.9000000000000001E-2</v>
      </c>
      <c r="P52" s="74">
        <v>2E-3</v>
      </c>
      <c r="Q52" s="18">
        <v>0.94699999999999995</v>
      </c>
      <c r="R52" s="18">
        <v>0.03</v>
      </c>
      <c r="S52" s="18">
        <v>0</v>
      </c>
      <c r="T52" s="18">
        <v>1.2E-2</v>
      </c>
      <c r="U52" s="18">
        <v>1.2E-2</v>
      </c>
      <c r="V52" s="18">
        <v>0</v>
      </c>
      <c r="W52" s="28">
        <v>91</v>
      </c>
      <c r="X52" s="27">
        <v>0.91428571428571426</v>
      </c>
      <c r="Y52" s="52">
        <v>160</v>
      </c>
      <c r="Z52" s="18">
        <v>2.9000000000000001E-2</v>
      </c>
      <c r="AA52" s="18">
        <v>0</v>
      </c>
      <c r="AB52" s="18">
        <v>1.0999999999999999E-2</v>
      </c>
      <c r="AC52" s="18">
        <v>1.0999999999999999E-2</v>
      </c>
      <c r="AD52" s="27">
        <f t="shared" si="5"/>
        <v>1.0999999999999999E-2</v>
      </c>
      <c r="AE52" s="18">
        <v>0</v>
      </c>
      <c r="AF52" s="1" t="s">
        <v>129</v>
      </c>
      <c r="AG52" s="1" t="s">
        <v>130</v>
      </c>
      <c r="AH52" s="1" t="s">
        <v>131</v>
      </c>
      <c r="AI52" s="1">
        <v>12</v>
      </c>
      <c r="AJ52" s="1">
        <v>38</v>
      </c>
      <c r="AK52" s="1">
        <v>54</v>
      </c>
      <c r="AL52" s="1" t="s">
        <v>132</v>
      </c>
      <c r="AM52" s="1">
        <v>170</v>
      </c>
      <c r="AN52" s="1">
        <v>97</v>
      </c>
      <c r="AO52" s="1">
        <v>54</v>
      </c>
      <c r="AP52" s="3">
        <v>90</v>
      </c>
      <c r="AQ52" s="1">
        <v>39</v>
      </c>
      <c r="AR52" s="1">
        <v>98</v>
      </c>
      <c r="AS52" s="1">
        <v>38</v>
      </c>
      <c r="AT52" s="1">
        <v>95</v>
      </c>
      <c r="AU52" s="1">
        <v>76</v>
      </c>
      <c r="AV52" s="1">
        <v>95</v>
      </c>
      <c r="AW52" s="1">
        <v>73</v>
      </c>
      <c r="AX52" s="1">
        <v>91</v>
      </c>
      <c r="AY52" s="30">
        <f t="shared" si="6"/>
        <v>2.9856086606416876</v>
      </c>
      <c r="AZ52" s="31">
        <f t="shared" si="7"/>
        <v>2.9034328006778445</v>
      </c>
      <c r="BA52" s="1">
        <v>26</v>
      </c>
      <c r="BB52" s="1">
        <v>87</v>
      </c>
      <c r="BC52" s="1">
        <v>15</v>
      </c>
      <c r="BD52" s="1">
        <v>100</v>
      </c>
      <c r="BE52" s="1">
        <v>11</v>
      </c>
      <c r="BF52" s="1">
        <v>73</v>
      </c>
      <c r="BG52" s="1">
        <v>19</v>
      </c>
      <c r="BH52" s="1">
        <v>63</v>
      </c>
      <c r="BI52" s="1">
        <v>30</v>
      </c>
      <c r="BJ52" s="1">
        <v>100</v>
      </c>
      <c r="BK52" s="1">
        <v>49</v>
      </c>
      <c r="BL52" s="1">
        <v>77</v>
      </c>
      <c r="BM52" s="1">
        <v>160</v>
      </c>
      <c r="BN52" s="1">
        <v>83</v>
      </c>
      <c r="BO52" s="21">
        <f t="shared" si="8"/>
        <v>78.431372549019613</v>
      </c>
      <c r="BP52" s="1">
        <v>49</v>
      </c>
      <c r="BQ52" s="3">
        <v>94</v>
      </c>
      <c r="BR52" s="23" t="s">
        <v>133</v>
      </c>
      <c r="BS52" s="1">
        <v>4.5999999999999996</v>
      </c>
      <c r="BT52" s="1">
        <v>36</v>
      </c>
      <c r="BU52" s="1">
        <v>90</v>
      </c>
      <c r="BV52" s="3">
        <v>3.5</v>
      </c>
      <c r="BW52" s="1">
        <v>40</v>
      </c>
      <c r="BX52" s="1">
        <v>100</v>
      </c>
      <c r="BY52" s="3">
        <v>5</v>
      </c>
      <c r="BZ52" s="23" t="s">
        <v>134</v>
      </c>
      <c r="CA52" s="23" t="s">
        <v>134</v>
      </c>
      <c r="CB52" s="33">
        <v>1</v>
      </c>
      <c r="CC52" s="34">
        <v>5.7142857142857143E-3</v>
      </c>
      <c r="CD52" s="3">
        <v>97</v>
      </c>
      <c r="CE52" s="3">
        <v>98</v>
      </c>
      <c r="CF52" s="3">
        <v>99</v>
      </c>
      <c r="CG52" s="1">
        <v>100</v>
      </c>
      <c r="CH52" s="1" t="s">
        <v>140</v>
      </c>
      <c r="CI52" s="3" t="s">
        <v>136</v>
      </c>
      <c r="CJ52" s="3" t="s">
        <v>136</v>
      </c>
      <c r="CK52" s="3" t="s">
        <v>136</v>
      </c>
      <c r="CL52" s="1" t="s">
        <v>151</v>
      </c>
      <c r="CM52" s="3" t="s">
        <v>137</v>
      </c>
      <c r="CN52" s="3" t="s">
        <v>136</v>
      </c>
      <c r="CO52" s="3" t="s">
        <v>136</v>
      </c>
      <c r="CP52" s="3" t="s">
        <v>136</v>
      </c>
      <c r="CQ52" s="3">
        <v>1</v>
      </c>
      <c r="CR52" s="1"/>
      <c r="CS52" s="1" t="s">
        <v>138</v>
      </c>
      <c r="CT52" s="1" t="s">
        <v>138</v>
      </c>
      <c r="CU52" s="1" t="s">
        <v>138</v>
      </c>
      <c r="CV52" s="1" t="s">
        <v>138</v>
      </c>
      <c r="CW52" s="1" t="s">
        <v>138</v>
      </c>
    </row>
    <row r="53" spans="1:192" s="13" customFormat="1" ht="60">
      <c r="A53" s="190">
        <v>20035</v>
      </c>
      <c r="B53" s="23" t="s">
        <v>166</v>
      </c>
      <c r="C53" s="1">
        <v>89</v>
      </c>
      <c r="D53" s="1">
        <v>9</v>
      </c>
      <c r="E53" s="1">
        <v>9</v>
      </c>
      <c r="F53" s="1">
        <v>18</v>
      </c>
      <c r="G53" s="1">
        <v>9.6999999999999993</v>
      </c>
      <c r="H53" s="1">
        <v>8.8000000000000007</v>
      </c>
      <c r="I53" s="1">
        <v>8</v>
      </c>
      <c r="J53" s="1" t="s">
        <v>128</v>
      </c>
      <c r="K53" s="26">
        <v>2.7019999999999999E-2</v>
      </c>
      <c r="L53" s="26">
        <v>2.545E-2</v>
      </c>
      <c r="M53" s="26">
        <v>5.2199999999999998E-3</v>
      </c>
      <c r="N53" s="27">
        <v>2.7019999999999999E-2</v>
      </c>
      <c r="O53" s="27">
        <v>2.545E-2</v>
      </c>
      <c r="P53" s="27">
        <v>5.2199999999999998E-3</v>
      </c>
      <c r="Q53" s="27">
        <v>0.86099999999999999</v>
      </c>
      <c r="R53" s="27">
        <v>6.0999999999999999E-2</v>
      </c>
      <c r="S53" s="27">
        <v>1.7999999999999999E-2</v>
      </c>
      <c r="T53" s="27">
        <v>1.7999999999999999E-2</v>
      </c>
      <c r="U53" s="27">
        <v>4.2000000000000003E-2</v>
      </c>
      <c r="V53" s="27">
        <v>0</v>
      </c>
      <c r="W53" s="28">
        <v>81</v>
      </c>
      <c r="X53" s="18">
        <v>0.81142857142857139</v>
      </c>
      <c r="Y53" s="28">
        <v>142</v>
      </c>
      <c r="Z53" s="18">
        <v>5.7000000000000002E-2</v>
      </c>
      <c r="AA53" s="18">
        <v>1.7000000000000001E-2</v>
      </c>
      <c r="AB53" s="18">
        <v>1.7000000000000001E-2</v>
      </c>
      <c r="AC53" s="18">
        <v>4.5999999999999999E-2</v>
      </c>
      <c r="AD53" s="27">
        <f t="shared" si="5"/>
        <v>6.3E-2</v>
      </c>
      <c r="AE53" s="18">
        <v>0</v>
      </c>
      <c r="AF53" s="1" t="s">
        <v>167</v>
      </c>
      <c r="AG53" s="1" t="s">
        <v>130</v>
      </c>
      <c r="AH53" s="1" t="s">
        <v>146</v>
      </c>
      <c r="AI53" s="1">
        <v>12</v>
      </c>
      <c r="AJ53" s="1">
        <v>78</v>
      </c>
      <c r="AK53" s="1">
        <v>49</v>
      </c>
      <c r="AL53" s="1" t="s">
        <v>132</v>
      </c>
      <c r="AM53" s="1">
        <v>164</v>
      </c>
      <c r="AN53" s="1">
        <v>94</v>
      </c>
      <c r="AO53" s="1">
        <v>32</v>
      </c>
      <c r="AP53" s="3">
        <v>53</v>
      </c>
      <c r="AQ53" s="1">
        <v>39</v>
      </c>
      <c r="AR53" s="1">
        <v>98</v>
      </c>
      <c r="AS53" s="1">
        <v>33</v>
      </c>
      <c r="AT53" s="1">
        <v>83</v>
      </c>
      <c r="AU53" s="1">
        <v>73</v>
      </c>
      <c r="AV53" s="1">
        <v>91</v>
      </c>
      <c r="AW53" s="1">
        <v>58</v>
      </c>
      <c r="AX53" s="1">
        <v>73</v>
      </c>
      <c r="AY53" s="30">
        <f t="shared" si="6"/>
        <v>1.9535680247068434</v>
      </c>
      <c r="AZ53" s="31">
        <f t="shared" si="7"/>
        <v>1.9144616220466921</v>
      </c>
      <c r="BA53" s="1">
        <v>23</v>
      </c>
      <c r="BB53" s="1">
        <v>77</v>
      </c>
      <c r="BC53" s="1">
        <v>10</v>
      </c>
      <c r="BD53" s="1">
        <v>67</v>
      </c>
      <c r="BE53" s="1">
        <v>13</v>
      </c>
      <c r="BF53" s="1">
        <v>87</v>
      </c>
      <c r="BG53" s="1">
        <v>21</v>
      </c>
      <c r="BH53" s="1">
        <v>70</v>
      </c>
      <c r="BI53" s="1">
        <v>30</v>
      </c>
      <c r="BJ53" s="1">
        <v>100</v>
      </c>
      <c r="BK53" s="1">
        <v>56</v>
      </c>
      <c r="BL53" s="3">
        <v>88</v>
      </c>
      <c r="BM53" s="1">
        <v>185</v>
      </c>
      <c r="BN53" s="3">
        <v>98</v>
      </c>
      <c r="BO53" s="21">
        <f t="shared" si="8"/>
        <v>90.686274509803923</v>
      </c>
      <c r="BP53" s="1">
        <v>51</v>
      </c>
      <c r="BQ53" s="3">
        <v>98</v>
      </c>
      <c r="BR53" s="23" t="s">
        <v>133</v>
      </c>
      <c r="BS53" s="3">
        <v>3.4</v>
      </c>
      <c r="BT53" s="1">
        <v>36</v>
      </c>
      <c r="BU53" s="3">
        <v>90</v>
      </c>
      <c r="BV53" s="3">
        <v>2.29</v>
      </c>
      <c r="BW53" s="1">
        <v>35</v>
      </c>
      <c r="BX53" s="3">
        <v>88</v>
      </c>
      <c r="BY53" s="3">
        <v>1</v>
      </c>
      <c r="BZ53" s="23" t="s">
        <v>134</v>
      </c>
      <c r="CA53" s="23" t="s">
        <v>134</v>
      </c>
      <c r="CB53" s="33">
        <v>7</v>
      </c>
      <c r="CC53" s="34">
        <v>0.04</v>
      </c>
      <c r="CD53" s="122">
        <v>93</v>
      </c>
      <c r="CE53" s="122">
        <v>96</v>
      </c>
      <c r="CF53" s="123">
        <v>96</v>
      </c>
      <c r="CG53" s="1">
        <v>100</v>
      </c>
      <c r="CH53" s="1" t="s">
        <v>153</v>
      </c>
      <c r="CI53" s="3" t="s">
        <v>188</v>
      </c>
      <c r="CL53" s="1" t="s">
        <v>138</v>
      </c>
      <c r="CM53" s="3" t="s">
        <v>143</v>
      </c>
      <c r="CN53" s="3" t="s">
        <v>188</v>
      </c>
      <c r="CR53" s="1" t="s">
        <v>138</v>
      </c>
      <c r="CS53" s="1" t="s">
        <v>138</v>
      </c>
      <c r="CT53" s="1" t="s">
        <v>138</v>
      </c>
      <c r="CU53" s="1" t="s">
        <v>138</v>
      </c>
      <c r="CV53" s="1" t="s">
        <v>138</v>
      </c>
      <c r="CW53" s="1" t="s">
        <v>138</v>
      </c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</row>
    <row r="54" spans="1:192" ht="60">
      <c r="A54" s="190">
        <v>20036</v>
      </c>
      <c r="B54" s="23" t="s">
        <v>127</v>
      </c>
      <c r="C54" s="1">
        <v>62.2</v>
      </c>
      <c r="D54" s="1">
        <v>7</v>
      </c>
      <c r="E54" s="1">
        <v>6</v>
      </c>
      <c r="F54" s="1">
        <v>13</v>
      </c>
      <c r="G54" s="1">
        <v>6.3</v>
      </c>
      <c r="H54" s="1">
        <v>4.9000000000000004</v>
      </c>
      <c r="I54" s="15">
        <v>6.9</v>
      </c>
      <c r="J54" s="1" t="s">
        <v>145</v>
      </c>
      <c r="K54" s="26">
        <v>3.3000000000000002E-2</v>
      </c>
      <c r="L54" s="26">
        <v>1.4999999999999999E-2</v>
      </c>
      <c r="M54" s="26">
        <v>6.1700000000000001E-3</v>
      </c>
      <c r="N54" s="27">
        <v>3.3000000000000002E-2</v>
      </c>
      <c r="O54" s="27">
        <v>1.4999999999999999E-2</v>
      </c>
      <c r="P54" s="27">
        <v>6.1700000000000001E-3</v>
      </c>
      <c r="Q54" s="27">
        <v>0.72599999999999998</v>
      </c>
      <c r="R54" s="27">
        <v>0.03</v>
      </c>
      <c r="S54" s="27">
        <v>4.2000000000000003E-2</v>
      </c>
      <c r="T54" s="27">
        <v>2.4E-2</v>
      </c>
      <c r="U54" s="27">
        <v>0.17899999999999999</v>
      </c>
      <c r="V54" s="27">
        <v>0</v>
      </c>
      <c r="W54" s="28">
        <v>70</v>
      </c>
      <c r="X54" s="18">
        <v>0.69714285714285718</v>
      </c>
      <c r="Y54" s="28">
        <v>122</v>
      </c>
      <c r="Z54" s="18">
        <v>2.9000000000000001E-2</v>
      </c>
      <c r="AA54" s="18">
        <v>0.04</v>
      </c>
      <c r="AB54" s="18">
        <v>2.3E-2</v>
      </c>
      <c r="AC54" s="18">
        <v>0.17100000000000001</v>
      </c>
      <c r="AD54" s="27">
        <f t="shared" si="5"/>
        <v>0.21100000000000002</v>
      </c>
      <c r="AE54" s="18">
        <v>0</v>
      </c>
      <c r="AF54" s="1" t="s">
        <v>167</v>
      </c>
      <c r="AG54" s="1" t="s">
        <v>130</v>
      </c>
      <c r="AH54" s="1" t="s">
        <v>131</v>
      </c>
      <c r="AI54" s="1">
        <v>11</v>
      </c>
      <c r="AJ54" s="1">
        <v>63</v>
      </c>
      <c r="AK54" s="1">
        <v>59</v>
      </c>
      <c r="AL54" s="1" t="s">
        <v>132</v>
      </c>
      <c r="AM54" s="1">
        <v>118</v>
      </c>
      <c r="AN54" s="1">
        <v>67</v>
      </c>
      <c r="AO54" s="1">
        <v>13</v>
      </c>
      <c r="AP54" s="3">
        <v>22</v>
      </c>
      <c r="AQ54" s="1">
        <v>21</v>
      </c>
      <c r="AR54" s="3">
        <v>53</v>
      </c>
      <c r="AS54" s="1">
        <v>19</v>
      </c>
      <c r="AT54" s="3">
        <v>48</v>
      </c>
      <c r="AU54" s="1">
        <v>67</v>
      </c>
      <c r="AV54" s="1">
        <v>84</v>
      </c>
      <c r="AW54" s="1">
        <v>59</v>
      </c>
      <c r="AX54" s="1">
        <v>74</v>
      </c>
      <c r="AY54" s="30">
        <f t="shared" si="6"/>
        <v>1.6378032886026666</v>
      </c>
      <c r="AZ54" s="31">
        <f t="shared" si="7"/>
        <v>1.6115890740337568</v>
      </c>
      <c r="BA54" s="1">
        <v>20</v>
      </c>
      <c r="BB54" s="1">
        <v>67</v>
      </c>
      <c r="BC54" s="1">
        <v>11</v>
      </c>
      <c r="BD54" s="52">
        <v>73</v>
      </c>
      <c r="BE54" s="1">
        <v>9</v>
      </c>
      <c r="BF54" s="52">
        <v>60</v>
      </c>
      <c r="BG54" s="1">
        <v>14</v>
      </c>
      <c r="BH54" s="1">
        <v>47</v>
      </c>
      <c r="BI54" s="1">
        <v>24</v>
      </c>
      <c r="BJ54" s="1">
        <v>80</v>
      </c>
      <c r="BK54" s="1">
        <v>51</v>
      </c>
      <c r="BL54" s="3">
        <v>80</v>
      </c>
      <c r="BM54" s="1">
        <v>101</v>
      </c>
      <c r="BN54" s="3">
        <v>46</v>
      </c>
      <c r="BO54" s="21">
        <f t="shared" si="8"/>
        <v>49.509803921568633</v>
      </c>
      <c r="BP54" s="1">
        <v>42</v>
      </c>
      <c r="BQ54" s="3">
        <v>81</v>
      </c>
      <c r="BR54" s="23" t="s">
        <v>133</v>
      </c>
      <c r="BS54" s="3">
        <v>1.6</v>
      </c>
      <c r="BT54" s="1">
        <v>23</v>
      </c>
      <c r="BU54" s="3">
        <v>58</v>
      </c>
      <c r="BV54" s="3">
        <v>0.5</v>
      </c>
      <c r="BW54" s="1">
        <v>30</v>
      </c>
      <c r="BX54" s="3">
        <v>75</v>
      </c>
      <c r="BY54" s="3">
        <v>1</v>
      </c>
      <c r="BZ54" s="23" t="s">
        <v>134</v>
      </c>
      <c r="CA54" s="23" t="s">
        <v>134</v>
      </c>
      <c r="CB54" s="33">
        <v>13</v>
      </c>
      <c r="CC54" s="34">
        <v>7.4285714285714288E-2</v>
      </c>
      <c r="CD54" s="122">
        <v>78</v>
      </c>
      <c r="CE54" s="122">
        <v>80</v>
      </c>
      <c r="CF54" s="122">
        <v>94</v>
      </c>
      <c r="CG54" s="1">
        <v>80</v>
      </c>
      <c r="CH54" s="1" t="s">
        <v>140</v>
      </c>
      <c r="CI54" s="3" t="s">
        <v>136</v>
      </c>
      <c r="CJ54" s="3" t="s">
        <v>136</v>
      </c>
      <c r="CK54" s="3" t="s">
        <v>136</v>
      </c>
      <c r="CM54" s="3" t="s">
        <v>212</v>
      </c>
      <c r="CN54" s="3" t="s">
        <v>188</v>
      </c>
      <c r="CO54" s="13"/>
      <c r="CP54" s="13"/>
      <c r="CQ54" s="13"/>
      <c r="CR54" s="1" t="s">
        <v>138</v>
      </c>
      <c r="CS54" s="1" t="s">
        <v>138</v>
      </c>
      <c r="CT54" s="1" t="s">
        <v>138</v>
      </c>
      <c r="CU54" s="1" t="s">
        <v>138</v>
      </c>
      <c r="CV54" s="1" t="s">
        <v>138</v>
      </c>
      <c r="CW54" s="1" t="s">
        <v>138</v>
      </c>
    </row>
    <row r="55" spans="1:192" ht="60">
      <c r="A55" s="190">
        <v>20037</v>
      </c>
      <c r="B55" s="23" t="s">
        <v>166</v>
      </c>
      <c r="C55" s="1">
        <v>55.1</v>
      </c>
      <c r="D55" s="1">
        <v>7</v>
      </c>
      <c r="E55" s="1">
        <v>4</v>
      </c>
      <c r="F55" s="1">
        <v>11</v>
      </c>
      <c r="G55" s="1">
        <v>7.25</v>
      </c>
      <c r="H55" s="1">
        <v>3.7</v>
      </c>
      <c r="I55" s="15">
        <v>5.6</v>
      </c>
      <c r="J55" s="1" t="s">
        <v>210</v>
      </c>
      <c r="K55" s="26">
        <v>2.0490000000000001E-2</v>
      </c>
      <c r="L55" s="26">
        <v>2.1139999999999999E-2</v>
      </c>
      <c r="M55" s="26">
        <v>3.551E-2</v>
      </c>
      <c r="N55" s="27">
        <v>2.0490000000000001E-2</v>
      </c>
      <c r="O55" s="27">
        <v>2.1139999999999999E-2</v>
      </c>
      <c r="P55" s="27">
        <v>3.551E-2</v>
      </c>
      <c r="Q55" s="27">
        <v>0.64600000000000002</v>
      </c>
      <c r="R55" s="27">
        <v>0.10199999999999999</v>
      </c>
      <c r="S55" s="27">
        <v>2.7E-2</v>
      </c>
      <c r="T55" s="27">
        <v>8.2000000000000003E-2</v>
      </c>
      <c r="U55" s="27">
        <v>0.13600000000000001</v>
      </c>
      <c r="V55" s="27">
        <v>7.0000000000000001E-3</v>
      </c>
      <c r="W55" s="28">
        <v>54</v>
      </c>
      <c r="X55" s="18">
        <v>0.54285714285714282</v>
      </c>
      <c r="Y55" s="28">
        <v>95</v>
      </c>
      <c r="Z55" s="18">
        <v>8.5999999999999993E-2</v>
      </c>
      <c r="AA55" s="18">
        <v>2.3E-2</v>
      </c>
      <c r="AB55" s="18">
        <v>6.9000000000000006E-2</v>
      </c>
      <c r="AC55" s="18">
        <v>0.114</v>
      </c>
      <c r="AD55" s="27">
        <f t="shared" si="5"/>
        <v>0.13700000000000001</v>
      </c>
      <c r="AE55" s="18">
        <v>6.0000000000000001E-3</v>
      </c>
      <c r="AF55" s="1" t="s">
        <v>167</v>
      </c>
      <c r="AG55" s="1" t="s">
        <v>130</v>
      </c>
      <c r="AH55" s="1" t="s">
        <v>146</v>
      </c>
      <c r="AI55" s="1">
        <v>19</v>
      </c>
      <c r="AJ55" s="1">
        <v>61</v>
      </c>
      <c r="AK55" s="1">
        <v>81</v>
      </c>
      <c r="AL55" s="1" t="s">
        <v>132</v>
      </c>
      <c r="AM55" s="1">
        <v>153</v>
      </c>
      <c r="AN55" s="1">
        <v>87</v>
      </c>
      <c r="AO55" s="1">
        <v>25</v>
      </c>
      <c r="AP55" s="3">
        <v>42</v>
      </c>
      <c r="AQ55" s="1">
        <v>34</v>
      </c>
      <c r="AR55" s="1">
        <v>85</v>
      </c>
      <c r="AS55" s="1">
        <v>32</v>
      </c>
      <c r="AT55" s="1">
        <v>80</v>
      </c>
      <c r="AU55" s="1">
        <v>70</v>
      </c>
      <c r="AV55" s="1">
        <v>88</v>
      </c>
      <c r="AW55" s="1">
        <v>64</v>
      </c>
      <c r="AX55" s="1">
        <v>80</v>
      </c>
      <c r="AY55" s="30">
        <f t="shared" si="6"/>
        <v>2.0166080256390053</v>
      </c>
      <c r="AZ55" s="31">
        <f t="shared" si="7"/>
        <v>1.9803146520592847</v>
      </c>
      <c r="BA55" s="1">
        <v>28</v>
      </c>
      <c r="BB55" s="1">
        <v>93</v>
      </c>
      <c r="BC55" s="1">
        <v>15</v>
      </c>
      <c r="BD55" s="1">
        <v>100</v>
      </c>
      <c r="BE55" s="1">
        <v>13</v>
      </c>
      <c r="BF55" s="1">
        <v>87</v>
      </c>
      <c r="BG55" s="1">
        <v>16</v>
      </c>
      <c r="BH55" s="1">
        <v>53</v>
      </c>
      <c r="BI55" s="1">
        <v>27</v>
      </c>
      <c r="BJ55" s="1">
        <v>90</v>
      </c>
      <c r="BK55" s="1">
        <v>50</v>
      </c>
      <c r="BL55" s="3">
        <v>78</v>
      </c>
      <c r="BM55" s="1">
        <v>174</v>
      </c>
      <c r="BN55" s="3">
        <v>88</v>
      </c>
      <c r="BO55" s="21">
        <f t="shared" si="8"/>
        <v>85.294117647058826</v>
      </c>
      <c r="BP55" s="1">
        <v>46</v>
      </c>
      <c r="BQ55" s="3">
        <v>88</v>
      </c>
      <c r="BR55" s="23" t="s">
        <v>185</v>
      </c>
      <c r="BS55" s="3">
        <v>1.4</v>
      </c>
      <c r="BT55" s="1">
        <v>36</v>
      </c>
      <c r="BU55" s="3">
        <v>90</v>
      </c>
      <c r="BV55" s="3">
        <v>2.8</v>
      </c>
      <c r="BW55" s="1">
        <v>20</v>
      </c>
      <c r="BX55" s="3">
        <v>50</v>
      </c>
      <c r="BY55" s="3">
        <v>0.5</v>
      </c>
      <c r="BZ55" s="23" t="s">
        <v>194</v>
      </c>
      <c r="CA55" s="23" t="s">
        <v>194</v>
      </c>
      <c r="CB55" s="33">
        <v>47</v>
      </c>
      <c r="CC55" s="34">
        <v>0.26857142857142857</v>
      </c>
      <c r="CD55" s="3">
        <v>94</v>
      </c>
      <c r="CE55" s="3">
        <v>94</v>
      </c>
      <c r="CF55" s="3">
        <v>98</v>
      </c>
      <c r="CG55" s="1">
        <v>100</v>
      </c>
      <c r="CH55" s="1" t="s">
        <v>153</v>
      </c>
      <c r="CI55" s="3" t="s">
        <v>136</v>
      </c>
      <c r="CJ55" s="3" t="s">
        <v>136</v>
      </c>
      <c r="CK55" s="3" t="s">
        <v>136</v>
      </c>
      <c r="CL55" s="1"/>
      <c r="CM55" s="3" t="s">
        <v>219</v>
      </c>
      <c r="CN55" s="3" t="s">
        <v>136</v>
      </c>
      <c r="CO55" s="3" t="s">
        <v>136</v>
      </c>
      <c r="CP55" s="3" t="s">
        <v>136</v>
      </c>
      <c r="CQ55" s="3">
        <v>1</v>
      </c>
      <c r="CR55" s="1"/>
      <c r="CS55" s="1" t="s">
        <v>138</v>
      </c>
      <c r="CT55" s="1" t="s">
        <v>138</v>
      </c>
      <c r="CU55" s="1" t="s">
        <v>138</v>
      </c>
      <c r="CV55" s="1" t="s">
        <v>138</v>
      </c>
      <c r="CW55" s="1" t="s">
        <v>138</v>
      </c>
    </row>
    <row r="56" spans="1:192" ht="60">
      <c r="A56" s="190">
        <v>20037</v>
      </c>
      <c r="B56" s="55" t="s">
        <v>150</v>
      </c>
      <c r="C56" s="39">
        <v>48.4</v>
      </c>
      <c r="D56" s="39">
        <v>7</v>
      </c>
      <c r="E56" s="39">
        <v>4</v>
      </c>
      <c r="F56" s="39">
        <v>11</v>
      </c>
      <c r="G56" s="38">
        <v>7.5</v>
      </c>
      <c r="H56" s="38">
        <v>3.7</v>
      </c>
      <c r="I56" s="15">
        <v>4</v>
      </c>
      <c r="J56" s="39" t="s">
        <v>210</v>
      </c>
      <c r="K56" s="40">
        <v>1.917E-2</v>
      </c>
      <c r="L56" s="40">
        <v>2.2540000000000001E-2</v>
      </c>
      <c r="M56" s="40">
        <v>3.458E-2</v>
      </c>
      <c r="N56" s="40">
        <v>1.917E-2</v>
      </c>
      <c r="O56" s="40">
        <v>2.2540000000000001E-2</v>
      </c>
      <c r="P56" s="40">
        <v>3.458E-2</v>
      </c>
      <c r="Q56" s="40">
        <v>0.63300000000000001</v>
      </c>
      <c r="R56" s="40">
        <v>0.13300000000000001</v>
      </c>
      <c r="S56" s="40">
        <v>4.2000000000000003E-2</v>
      </c>
      <c r="T56" s="40">
        <v>6.7000000000000004E-2</v>
      </c>
      <c r="U56" s="40">
        <v>0.108</v>
      </c>
      <c r="V56" s="40">
        <v>1.7000000000000001E-2</v>
      </c>
      <c r="W56" s="43">
        <v>43</v>
      </c>
      <c r="X56" s="42">
        <v>0.434</v>
      </c>
      <c r="Y56" s="42">
        <v>76</v>
      </c>
      <c r="Z56" s="42">
        <v>9.0999999999999998E-2</v>
      </c>
      <c r="AA56" s="42">
        <v>2.9000000000000001E-2</v>
      </c>
      <c r="AB56" s="42">
        <v>4.5999999999999999E-2</v>
      </c>
      <c r="AC56" s="42">
        <v>7.3999999999999996E-2</v>
      </c>
      <c r="AD56" s="40">
        <v>0.10299999999999999</v>
      </c>
      <c r="AE56" s="42">
        <v>1.0999999999999999E-2</v>
      </c>
      <c r="AF56" s="39" t="s">
        <v>167</v>
      </c>
      <c r="AG56" s="39" t="s">
        <v>130</v>
      </c>
      <c r="AH56" s="39" t="s">
        <v>146</v>
      </c>
      <c r="AI56" s="39">
        <v>19</v>
      </c>
      <c r="AJ56" s="38">
        <v>68</v>
      </c>
      <c r="AK56" s="38">
        <v>171</v>
      </c>
      <c r="AL56" s="39" t="s">
        <v>132</v>
      </c>
      <c r="AM56" s="39">
        <v>160</v>
      </c>
      <c r="AN56" s="39">
        <v>91</v>
      </c>
      <c r="AO56" s="39">
        <v>6</v>
      </c>
      <c r="AP56" s="2">
        <v>10</v>
      </c>
      <c r="AQ56" s="39">
        <v>37</v>
      </c>
      <c r="AR56" s="39">
        <v>93</v>
      </c>
      <c r="AS56" s="39">
        <v>32</v>
      </c>
      <c r="AT56" s="39">
        <v>80</v>
      </c>
      <c r="AU56" s="39">
        <v>67</v>
      </c>
      <c r="AV56" s="39">
        <v>84</v>
      </c>
      <c r="AW56" s="39">
        <v>73</v>
      </c>
      <c r="AX56" s="39">
        <v>91</v>
      </c>
      <c r="AY56" s="46">
        <f t="shared" si="6"/>
        <v>2.335212916899966</v>
      </c>
      <c r="AZ56" s="31">
        <f t="shared" si="7"/>
        <v>2.2875656915229841</v>
      </c>
      <c r="BA56" s="39">
        <v>20</v>
      </c>
      <c r="BB56" s="39">
        <v>67</v>
      </c>
      <c r="BC56" s="39">
        <v>13</v>
      </c>
      <c r="BD56" s="39">
        <v>87</v>
      </c>
      <c r="BE56" s="39">
        <v>7</v>
      </c>
      <c r="BF56" s="39">
        <v>47</v>
      </c>
      <c r="BG56" s="39">
        <v>15</v>
      </c>
      <c r="BH56" s="39">
        <v>50</v>
      </c>
      <c r="BI56" s="39">
        <v>28</v>
      </c>
      <c r="BJ56" s="39">
        <v>93</v>
      </c>
      <c r="BK56" s="39">
        <v>50</v>
      </c>
      <c r="BL56" s="2">
        <v>78</v>
      </c>
      <c r="BM56" s="39">
        <v>158</v>
      </c>
      <c r="BN56" s="2">
        <v>81</v>
      </c>
      <c r="BO56" s="47">
        <f t="shared" si="8"/>
        <v>77.450980392156865</v>
      </c>
      <c r="BP56" s="39">
        <v>48</v>
      </c>
      <c r="BQ56" s="2">
        <v>92</v>
      </c>
      <c r="BR56" s="36" t="s">
        <v>148</v>
      </c>
      <c r="BS56" s="2">
        <v>1</v>
      </c>
      <c r="BT56" s="39">
        <v>34</v>
      </c>
      <c r="BU56" s="2">
        <v>85</v>
      </c>
      <c r="BV56" s="2">
        <v>2</v>
      </c>
      <c r="BW56" s="39">
        <v>28</v>
      </c>
      <c r="BX56" s="2">
        <v>70</v>
      </c>
      <c r="BY56" s="2">
        <v>0.5</v>
      </c>
      <c r="BZ56" s="36" t="s">
        <v>211</v>
      </c>
      <c r="CA56" s="36" t="s">
        <v>211</v>
      </c>
      <c r="CB56" s="135">
        <v>39</v>
      </c>
      <c r="CC56" s="135">
        <v>0.223</v>
      </c>
      <c r="CD56" s="2">
        <v>90</v>
      </c>
      <c r="CE56" s="2">
        <v>91</v>
      </c>
      <c r="CF56" s="2">
        <v>98</v>
      </c>
      <c r="CG56" s="39">
        <v>100</v>
      </c>
      <c r="CH56" s="39" t="s">
        <v>140</v>
      </c>
      <c r="CI56" s="2" t="s">
        <v>136</v>
      </c>
      <c r="CJ56" s="13"/>
      <c r="CK56" s="13"/>
      <c r="CL56" s="39" t="s">
        <v>151</v>
      </c>
      <c r="CM56" s="2" t="s">
        <v>209</v>
      </c>
      <c r="CN56" s="2" t="s">
        <v>136</v>
      </c>
      <c r="CO56" s="13" t="s">
        <v>136</v>
      </c>
      <c r="CP56" s="13" t="s">
        <v>136</v>
      </c>
      <c r="CQ56" s="13">
        <v>1</v>
      </c>
      <c r="CR56" s="39"/>
      <c r="CS56" s="59" t="s">
        <v>140</v>
      </c>
      <c r="CT56" s="59" t="s">
        <v>140</v>
      </c>
      <c r="CU56" s="2">
        <v>100</v>
      </c>
      <c r="CV56" s="2">
        <v>96</v>
      </c>
      <c r="CW56" s="2">
        <v>100</v>
      </c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</row>
    <row r="57" spans="1:192" s="2" customFormat="1" ht="60">
      <c r="A57" s="190">
        <v>20038</v>
      </c>
      <c r="B57" s="23" t="s">
        <v>127</v>
      </c>
      <c r="C57" s="1">
        <v>81.099999999999994</v>
      </c>
      <c r="D57" s="1">
        <v>9</v>
      </c>
      <c r="E57" s="1">
        <v>6</v>
      </c>
      <c r="F57" s="1">
        <v>15</v>
      </c>
      <c r="G57" s="1">
        <v>8.9499999999999993</v>
      </c>
      <c r="H57" s="1">
        <v>8.6</v>
      </c>
      <c r="I57" s="15">
        <v>8</v>
      </c>
      <c r="J57" s="1" t="s">
        <v>210</v>
      </c>
      <c r="K57" s="26">
        <v>3.4849999999999999E-2</v>
      </c>
      <c r="L57" s="26">
        <v>2.5669999999999998E-2</v>
      </c>
      <c r="M57" s="26">
        <v>2.9199999999999999E-3</v>
      </c>
      <c r="N57" s="27">
        <v>3.4849999999999999E-2</v>
      </c>
      <c r="O57" s="27">
        <v>2.5669999999999998E-2</v>
      </c>
      <c r="P57" s="27">
        <v>2.9199999999999999E-3</v>
      </c>
      <c r="Q57" s="27">
        <v>0.92300000000000004</v>
      </c>
      <c r="R57" s="27">
        <v>0.03</v>
      </c>
      <c r="S57" s="27">
        <v>6.0000000000000001E-3</v>
      </c>
      <c r="T57" s="27">
        <v>1.2E-2</v>
      </c>
      <c r="U57" s="27">
        <v>0.03</v>
      </c>
      <c r="V57" s="27">
        <v>0</v>
      </c>
      <c r="W57" s="28">
        <v>89</v>
      </c>
      <c r="X57" s="18">
        <v>0.88571428571428568</v>
      </c>
      <c r="Y57" s="28">
        <v>155</v>
      </c>
      <c r="Z57" s="18">
        <v>2.9000000000000001E-2</v>
      </c>
      <c r="AA57" s="18">
        <v>6.0000000000000001E-3</v>
      </c>
      <c r="AB57" s="18">
        <v>1.0999999999999999E-2</v>
      </c>
      <c r="AC57" s="18">
        <v>2.9000000000000001E-2</v>
      </c>
      <c r="AD57" s="27">
        <f>AC57+AA57</f>
        <v>3.5000000000000003E-2</v>
      </c>
      <c r="AE57" s="18">
        <v>0</v>
      </c>
      <c r="AF57" s="1" t="s">
        <v>129</v>
      </c>
      <c r="AG57" s="1" t="s">
        <v>130</v>
      </c>
      <c r="AH57" s="1" t="s">
        <v>146</v>
      </c>
      <c r="AI57" s="1">
        <v>12</v>
      </c>
      <c r="AJ57" s="1">
        <f>2006-1941</f>
        <v>65</v>
      </c>
      <c r="AK57" s="1">
        <v>116</v>
      </c>
      <c r="AL57" s="1" t="s">
        <v>132</v>
      </c>
      <c r="AM57" s="1">
        <v>171</v>
      </c>
      <c r="AN57" s="1">
        <v>98</v>
      </c>
      <c r="AO57" s="1">
        <v>57</v>
      </c>
      <c r="AP57" s="3">
        <v>95</v>
      </c>
      <c r="AQ57" s="1">
        <v>39</v>
      </c>
      <c r="AR57" s="1">
        <v>98</v>
      </c>
      <c r="AS57" s="1">
        <v>35</v>
      </c>
      <c r="AT57" s="1">
        <v>88</v>
      </c>
      <c r="AU57" s="1">
        <v>77</v>
      </c>
      <c r="AV57" s="1">
        <v>96</v>
      </c>
      <c r="AW57" s="1">
        <v>69</v>
      </c>
      <c r="AX57" s="1">
        <v>86</v>
      </c>
      <c r="AY57" s="30">
        <f t="shared" si="6"/>
        <v>2.831005412067126</v>
      </c>
      <c r="AZ57" s="31">
        <f t="shared" si="7"/>
        <v>2.7488394702393792</v>
      </c>
      <c r="BA57" s="1">
        <v>28</v>
      </c>
      <c r="BB57" s="1">
        <v>93</v>
      </c>
      <c r="BC57" s="1">
        <v>15</v>
      </c>
      <c r="BD57" s="1">
        <v>100</v>
      </c>
      <c r="BE57" s="1">
        <v>13</v>
      </c>
      <c r="BF57" s="1">
        <v>87</v>
      </c>
      <c r="BG57" s="1">
        <v>20</v>
      </c>
      <c r="BH57" s="1">
        <v>67</v>
      </c>
      <c r="BI57" s="1">
        <v>29</v>
      </c>
      <c r="BJ57" s="1">
        <v>97</v>
      </c>
      <c r="BK57" s="1">
        <v>45</v>
      </c>
      <c r="BL57" s="3">
        <v>70</v>
      </c>
      <c r="BM57" s="1">
        <v>166</v>
      </c>
      <c r="BN57" s="3">
        <v>84</v>
      </c>
      <c r="BO57" s="21">
        <f t="shared" si="8"/>
        <v>81.372549019607845</v>
      </c>
      <c r="BP57" s="1">
        <v>45</v>
      </c>
      <c r="BQ57" s="3">
        <v>87</v>
      </c>
      <c r="BR57" s="23" t="s">
        <v>133</v>
      </c>
      <c r="BS57" s="3">
        <v>3.6</v>
      </c>
      <c r="BT57" s="1">
        <v>34</v>
      </c>
      <c r="BU57" s="3">
        <v>85</v>
      </c>
      <c r="BV57" s="3">
        <v>2</v>
      </c>
      <c r="BW57" s="1">
        <v>37</v>
      </c>
      <c r="BX57" s="3">
        <v>93</v>
      </c>
      <c r="BY57" s="3">
        <v>2</v>
      </c>
      <c r="BZ57" s="23" t="s">
        <v>134</v>
      </c>
      <c r="CA57" s="111" t="s">
        <v>204</v>
      </c>
      <c r="CB57" s="33">
        <v>3</v>
      </c>
      <c r="CC57" s="34">
        <v>1.7142857142857144E-2</v>
      </c>
      <c r="CD57" s="3">
        <v>94</v>
      </c>
      <c r="CE57" s="3">
        <v>94</v>
      </c>
      <c r="CF57" s="3">
        <v>97</v>
      </c>
      <c r="CG57" s="1">
        <v>88.8</v>
      </c>
      <c r="CH57" s="1" t="s">
        <v>140</v>
      </c>
      <c r="CI57" s="3" t="s">
        <v>136</v>
      </c>
      <c r="CJ57" s="3" t="s">
        <v>136</v>
      </c>
      <c r="CK57" s="3" t="s">
        <v>136</v>
      </c>
      <c r="CL57" s="1"/>
      <c r="CM57" s="3" t="s">
        <v>212</v>
      </c>
      <c r="CN57" s="3" t="s">
        <v>136</v>
      </c>
      <c r="CO57" s="3" t="s">
        <v>136</v>
      </c>
      <c r="CP57" s="3" t="s">
        <v>136</v>
      </c>
      <c r="CQ57" s="3">
        <v>1</v>
      </c>
      <c r="CR57" s="1"/>
      <c r="CS57" s="1" t="s">
        <v>138</v>
      </c>
      <c r="CT57" s="1" t="s">
        <v>138</v>
      </c>
      <c r="CU57" s="1" t="s">
        <v>138</v>
      </c>
      <c r="CV57" s="1" t="s">
        <v>138</v>
      </c>
      <c r="CW57" s="1" t="s">
        <v>138</v>
      </c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5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</row>
    <row r="58" spans="1:192" ht="60">
      <c r="A58" s="190">
        <v>20039</v>
      </c>
      <c r="B58" s="23" t="s">
        <v>127</v>
      </c>
      <c r="C58" s="108">
        <v>84.7</v>
      </c>
      <c r="D58" s="1">
        <v>7</v>
      </c>
      <c r="E58" s="108">
        <v>9</v>
      </c>
      <c r="F58" s="1">
        <v>16</v>
      </c>
      <c r="G58" s="108">
        <v>9.9499999999999993</v>
      </c>
      <c r="H58" s="108">
        <v>8</v>
      </c>
      <c r="I58" s="124">
        <v>8.4</v>
      </c>
      <c r="J58" s="1" t="s">
        <v>210</v>
      </c>
      <c r="K58" s="26">
        <v>9.0999999999999998E-2</v>
      </c>
      <c r="L58" s="26">
        <v>7.0000000000000001E-3</v>
      </c>
      <c r="M58" s="26">
        <v>4.8999999999999998E-3</v>
      </c>
      <c r="N58" s="74">
        <v>3.3000000000000002E-2</v>
      </c>
      <c r="O58" s="74">
        <v>0.02</v>
      </c>
      <c r="P58" s="74">
        <v>1.2E-2</v>
      </c>
      <c r="Q58" s="27">
        <v>0.86099999999999999</v>
      </c>
      <c r="R58" s="27">
        <v>3.5999999999999997E-2</v>
      </c>
      <c r="S58" s="27">
        <v>0</v>
      </c>
      <c r="T58" s="27">
        <v>6.0000000000000001E-3</v>
      </c>
      <c r="U58" s="27">
        <v>9.6000000000000002E-2</v>
      </c>
      <c r="V58" s="27">
        <v>0</v>
      </c>
      <c r="W58" s="28">
        <v>82</v>
      </c>
      <c r="X58" s="18">
        <v>0.81714285714285717</v>
      </c>
      <c r="Y58" s="28">
        <v>143</v>
      </c>
      <c r="Z58" s="18">
        <v>3.4000000000000002E-2</v>
      </c>
      <c r="AA58" s="18">
        <v>0</v>
      </c>
      <c r="AB58" s="18">
        <v>6.0000000000000001E-3</v>
      </c>
      <c r="AC58" s="18">
        <v>9.0999999999999998E-2</v>
      </c>
      <c r="AD58" s="27">
        <f>AC58+AA58</f>
        <v>9.0999999999999998E-2</v>
      </c>
      <c r="AE58" s="18">
        <v>0</v>
      </c>
      <c r="AF58" s="1" t="s">
        <v>129</v>
      </c>
      <c r="AG58" s="1" t="s">
        <v>130</v>
      </c>
      <c r="AH58" s="1" t="s">
        <v>146</v>
      </c>
      <c r="AI58" s="1">
        <v>17</v>
      </c>
      <c r="AJ58" s="1">
        <v>51</v>
      </c>
      <c r="AK58" s="1">
        <v>36</v>
      </c>
      <c r="AL58" s="1" t="s">
        <v>132</v>
      </c>
      <c r="AM58" s="1">
        <v>167</v>
      </c>
      <c r="AN58" s="1">
        <v>95</v>
      </c>
      <c r="AO58" s="1">
        <v>31</v>
      </c>
      <c r="AP58" s="3">
        <v>52</v>
      </c>
      <c r="AQ58" s="1">
        <v>38</v>
      </c>
      <c r="AR58" s="1">
        <v>95</v>
      </c>
      <c r="AS58" s="1">
        <v>38</v>
      </c>
      <c r="AT58" s="1">
        <v>95</v>
      </c>
      <c r="AU58" s="1">
        <v>74</v>
      </c>
      <c r="AV58" s="1">
        <v>93</v>
      </c>
      <c r="AW58" s="1">
        <v>71</v>
      </c>
      <c r="AX58" s="1">
        <v>89</v>
      </c>
      <c r="AY58" s="30">
        <f t="shared" si="6"/>
        <v>2.702319148215782</v>
      </c>
      <c r="AZ58" s="31">
        <f t="shared" si="7"/>
        <v>2.6386679863816354</v>
      </c>
      <c r="BA58" s="1">
        <v>30</v>
      </c>
      <c r="BB58" s="1">
        <v>100</v>
      </c>
      <c r="BC58" s="1">
        <v>15</v>
      </c>
      <c r="BD58" s="1">
        <v>100</v>
      </c>
      <c r="BE58" s="1">
        <v>15</v>
      </c>
      <c r="BF58" s="1">
        <v>100</v>
      </c>
      <c r="BG58" s="1">
        <v>27</v>
      </c>
      <c r="BH58" s="1">
        <v>90</v>
      </c>
      <c r="BI58" s="1">
        <v>30</v>
      </c>
      <c r="BJ58" s="1">
        <v>100</v>
      </c>
      <c r="BK58" s="1">
        <v>57</v>
      </c>
      <c r="BL58" s="1">
        <v>89</v>
      </c>
      <c r="BM58" s="1">
        <v>176</v>
      </c>
      <c r="BN58" s="1">
        <v>88</v>
      </c>
      <c r="BO58" s="21">
        <f t="shared" si="8"/>
        <v>86.274509803921575</v>
      </c>
      <c r="BP58" s="1">
        <v>49</v>
      </c>
      <c r="BQ58" s="3">
        <v>94</v>
      </c>
      <c r="BR58" s="23" t="s">
        <v>185</v>
      </c>
      <c r="BS58" s="3">
        <v>3.8</v>
      </c>
      <c r="BT58" s="1">
        <v>36</v>
      </c>
      <c r="BU58" s="1">
        <v>90</v>
      </c>
      <c r="BV58" s="3">
        <v>5</v>
      </c>
      <c r="BW58" s="1">
        <v>39</v>
      </c>
      <c r="BX58" s="1">
        <v>98</v>
      </c>
      <c r="BY58" s="3">
        <v>2.2999999999999998</v>
      </c>
      <c r="BZ58" s="23" t="s">
        <v>211</v>
      </c>
      <c r="CA58" s="23" t="s">
        <v>211</v>
      </c>
      <c r="CB58" s="33">
        <v>71</v>
      </c>
      <c r="CC58" s="34">
        <v>0.40571428571428569</v>
      </c>
      <c r="CD58" s="3">
        <v>99</v>
      </c>
      <c r="CE58" s="3">
        <v>99</v>
      </c>
      <c r="CF58" s="3">
        <v>100</v>
      </c>
      <c r="CG58" s="1">
        <v>100</v>
      </c>
      <c r="CH58" s="1" t="s">
        <v>140</v>
      </c>
      <c r="CI58" s="3" t="s">
        <v>136</v>
      </c>
      <c r="CJ58" s="3" t="s">
        <v>136</v>
      </c>
      <c r="CK58" s="3" t="s">
        <v>136</v>
      </c>
      <c r="CM58" s="3" t="s">
        <v>216</v>
      </c>
      <c r="CN58" s="3" t="s">
        <v>188</v>
      </c>
      <c r="CO58" s="13"/>
      <c r="CP58" s="13"/>
      <c r="CQ58" s="13"/>
      <c r="CR58" s="1" t="s">
        <v>138</v>
      </c>
      <c r="CS58" s="1" t="s">
        <v>138</v>
      </c>
      <c r="CT58" s="1" t="s">
        <v>138</v>
      </c>
      <c r="CU58" s="1" t="s">
        <v>138</v>
      </c>
      <c r="CV58" s="1" t="s">
        <v>138</v>
      </c>
      <c r="CW58" s="1" t="s">
        <v>138</v>
      </c>
    </row>
    <row r="59" spans="1:192" ht="60">
      <c r="A59" s="190">
        <v>20040</v>
      </c>
      <c r="B59" s="23" t="s">
        <v>220</v>
      </c>
      <c r="C59" s="3">
        <v>69.7</v>
      </c>
      <c r="D59" s="1">
        <v>7</v>
      </c>
      <c r="E59" s="3">
        <v>5</v>
      </c>
      <c r="F59" s="1">
        <v>12</v>
      </c>
      <c r="G59" s="3">
        <v>7.25</v>
      </c>
      <c r="H59" s="1">
        <v>7.2</v>
      </c>
      <c r="I59" s="15">
        <v>8.4</v>
      </c>
      <c r="J59" s="3" t="s">
        <v>128</v>
      </c>
      <c r="K59" s="26">
        <v>2.1930000000000002E-2</v>
      </c>
      <c r="L59" s="26">
        <v>2.879E-2</v>
      </c>
      <c r="M59" s="26">
        <v>1.153E-2</v>
      </c>
      <c r="N59" s="27">
        <v>2.1930000000000002E-2</v>
      </c>
      <c r="O59" s="27">
        <v>2.879E-2</v>
      </c>
      <c r="P59" s="27">
        <v>1.153E-2</v>
      </c>
      <c r="Q59" s="27">
        <v>0.81799999999999995</v>
      </c>
      <c r="R59" s="27">
        <v>6.9000000000000006E-2</v>
      </c>
      <c r="S59" s="27">
        <v>1.9E-2</v>
      </c>
      <c r="T59" s="27">
        <v>3.1E-2</v>
      </c>
      <c r="U59" s="27">
        <v>3.7999999999999999E-2</v>
      </c>
      <c r="V59" s="27">
        <v>2.5000000000000001E-2</v>
      </c>
      <c r="W59" s="52">
        <v>74</v>
      </c>
      <c r="X59" s="27">
        <v>0.74299999999999999</v>
      </c>
      <c r="Y59" s="52">
        <v>130</v>
      </c>
      <c r="Z59" s="27">
        <v>5.0999999999999997E-2</v>
      </c>
      <c r="AA59" s="27">
        <v>1.7000000000000001E-2</v>
      </c>
      <c r="AB59" s="27">
        <v>2.9000000000000001E-2</v>
      </c>
      <c r="AC59" s="27">
        <v>3.4000000000000002E-2</v>
      </c>
      <c r="AD59" s="27">
        <f>AC59+AA59</f>
        <v>5.1000000000000004E-2</v>
      </c>
      <c r="AE59" s="27">
        <v>2.3E-2</v>
      </c>
      <c r="AF59" s="1" t="s">
        <v>167</v>
      </c>
      <c r="AG59" s="3" t="s">
        <v>130</v>
      </c>
      <c r="AH59" s="3" t="s">
        <v>146</v>
      </c>
      <c r="AI59" s="3">
        <v>14</v>
      </c>
      <c r="AJ59" s="3">
        <v>75</v>
      </c>
      <c r="AK59" s="3">
        <v>57</v>
      </c>
      <c r="AL59" s="3" t="s">
        <v>132</v>
      </c>
      <c r="AM59" s="1">
        <v>156</v>
      </c>
      <c r="AN59" s="3">
        <v>89</v>
      </c>
      <c r="AO59" s="1">
        <v>35</v>
      </c>
      <c r="AP59" s="3">
        <v>35</v>
      </c>
      <c r="AQ59" s="1">
        <v>32</v>
      </c>
      <c r="AR59" s="3">
        <v>80</v>
      </c>
      <c r="AS59" s="1">
        <v>27</v>
      </c>
      <c r="AT59" s="3">
        <v>68</v>
      </c>
      <c r="AU59" s="1">
        <v>75</v>
      </c>
      <c r="AV59" s="3">
        <v>94</v>
      </c>
      <c r="AW59" s="1">
        <v>52</v>
      </c>
      <c r="AX59" s="3">
        <v>65</v>
      </c>
      <c r="AY59" s="30">
        <f t="shared" si="6"/>
        <v>1.9400940610044206</v>
      </c>
      <c r="AZ59" s="31">
        <f t="shared" si="7"/>
        <v>1.8910284071928289</v>
      </c>
      <c r="BA59" s="1">
        <v>22</v>
      </c>
      <c r="BB59" s="3">
        <v>73</v>
      </c>
      <c r="BC59" s="1">
        <v>13</v>
      </c>
      <c r="BD59" s="3">
        <v>87</v>
      </c>
      <c r="BE59" s="1">
        <v>9</v>
      </c>
      <c r="BF59" s="3">
        <v>60</v>
      </c>
      <c r="BG59" s="1">
        <v>12</v>
      </c>
      <c r="BH59" s="3">
        <v>40</v>
      </c>
      <c r="BI59" s="1">
        <v>24</v>
      </c>
      <c r="BJ59" s="3">
        <v>80</v>
      </c>
      <c r="BK59" s="1">
        <v>45</v>
      </c>
      <c r="BL59" s="3">
        <v>70</v>
      </c>
      <c r="BM59" s="1">
        <v>150</v>
      </c>
      <c r="BN59" s="3">
        <v>80</v>
      </c>
      <c r="BO59" s="21">
        <f t="shared" si="8"/>
        <v>73.529411764705884</v>
      </c>
      <c r="BP59" s="1">
        <v>44</v>
      </c>
      <c r="BQ59" s="3">
        <v>85</v>
      </c>
      <c r="BR59" s="23" t="s">
        <v>133</v>
      </c>
      <c r="BS59" s="3">
        <v>3.4</v>
      </c>
      <c r="BT59" s="1">
        <v>31</v>
      </c>
      <c r="BU59" s="3">
        <v>78</v>
      </c>
      <c r="BV59" s="3">
        <v>1.38</v>
      </c>
      <c r="BW59" s="1">
        <v>38</v>
      </c>
      <c r="BX59" s="3">
        <v>95</v>
      </c>
      <c r="BY59" s="3">
        <v>3.4</v>
      </c>
      <c r="BZ59" s="23" t="s">
        <v>134</v>
      </c>
      <c r="CA59" s="111" t="s">
        <v>204</v>
      </c>
      <c r="CB59" s="33">
        <v>0</v>
      </c>
      <c r="CC59" s="34">
        <v>0</v>
      </c>
      <c r="CD59" s="3">
        <v>89</v>
      </c>
      <c r="CE59" s="3">
        <v>93</v>
      </c>
      <c r="CF59" s="3">
        <v>93</v>
      </c>
      <c r="CG59" s="1">
        <v>100</v>
      </c>
      <c r="CH59" s="5" t="s">
        <v>140</v>
      </c>
      <c r="CI59" s="3" t="s">
        <v>136</v>
      </c>
      <c r="CJ59" s="3" t="s">
        <v>136</v>
      </c>
      <c r="CK59" s="3" t="s">
        <v>136</v>
      </c>
      <c r="CL59" s="1"/>
      <c r="CM59" s="3" t="s">
        <v>168</v>
      </c>
      <c r="CN59" s="3" t="s">
        <v>136</v>
      </c>
      <c r="CO59" s="3" t="s">
        <v>136</v>
      </c>
      <c r="CP59" s="3" t="s">
        <v>136</v>
      </c>
      <c r="CQ59" s="3">
        <v>1</v>
      </c>
      <c r="CR59" s="1"/>
      <c r="CS59" s="1" t="s">
        <v>138</v>
      </c>
      <c r="CT59" s="1" t="s">
        <v>138</v>
      </c>
      <c r="CU59" s="1" t="s">
        <v>138</v>
      </c>
      <c r="CV59" s="1" t="s">
        <v>138</v>
      </c>
      <c r="CW59" s="1" t="s">
        <v>138</v>
      </c>
    </row>
    <row r="60" spans="1:192" ht="60">
      <c r="A60" s="190">
        <v>20041</v>
      </c>
      <c r="B60" s="23" t="s">
        <v>127</v>
      </c>
      <c r="C60" s="1">
        <v>66</v>
      </c>
      <c r="D60" s="1">
        <v>5</v>
      </c>
      <c r="E60" s="1">
        <v>4</v>
      </c>
      <c r="F60" s="1">
        <v>9</v>
      </c>
      <c r="G60" s="1">
        <v>9</v>
      </c>
      <c r="H60" s="1">
        <v>8</v>
      </c>
      <c r="I60" s="15">
        <v>7</v>
      </c>
      <c r="J60" s="1" t="s">
        <v>210</v>
      </c>
      <c r="K60" s="26">
        <v>3.3640000000000003E-2</v>
      </c>
      <c r="L60" s="26">
        <v>1.133E-2</v>
      </c>
      <c r="M60" s="26">
        <v>1.8880000000000001E-2</v>
      </c>
      <c r="N60" s="27">
        <v>3.3640000000000003E-2</v>
      </c>
      <c r="O60" s="27">
        <v>1.133E-2</v>
      </c>
      <c r="P60" s="27">
        <v>1.8880000000000001E-2</v>
      </c>
      <c r="Q60" s="27">
        <v>0.58099999999999996</v>
      </c>
      <c r="R60" s="27">
        <v>1.7999999999999999E-2</v>
      </c>
      <c r="S60" s="27">
        <v>0.03</v>
      </c>
      <c r="T60" s="18">
        <v>6.0000000000000001E-3</v>
      </c>
      <c r="U60" s="18">
        <v>0.35299999999999998</v>
      </c>
      <c r="V60" s="18">
        <v>1.2E-2</v>
      </c>
      <c r="W60" s="28">
        <v>55</v>
      </c>
      <c r="X60" s="18">
        <v>0.55428571428571427</v>
      </c>
      <c r="Y60" s="28">
        <v>97</v>
      </c>
      <c r="Z60" s="18">
        <v>1.7000000000000001E-2</v>
      </c>
      <c r="AA60" s="18">
        <v>2.9000000000000001E-2</v>
      </c>
      <c r="AB60" s="18">
        <v>6.0000000000000001E-3</v>
      </c>
      <c r="AC60" s="18">
        <v>0.33700000000000002</v>
      </c>
      <c r="AD60" s="27">
        <f>AC60+AA60</f>
        <v>0.36600000000000005</v>
      </c>
      <c r="AE60" s="18">
        <v>1.0999999999999999E-2</v>
      </c>
      <c r="AF60" s="1" t="s">
        <v>167</v>
      </c>
      <c r="AG60" s="1" t="s">
        <v>130</v>
      </c>
      <c r="AH60" s="1" t="s">
        <v>146</v>
      </c>
      <c r="AI60" s="1">
        <v>12</v>
      </c>
      <c r="AJ60" s="28">
        <v>56</v>
      </c>
      <c r="AK60" s="28">
        <v>33</v>
      </c>
      <c r="AL60" s="28" t="s">
        <v>132</v>
      </c>
      <c r="AM60" s="1">
        <v>124</v>
      </c>
      <c r="AN60" s="28">
        <v>71</v>
      </c>
      <c r="AO60" s="1">
        <v>9</v>
      </c>
      <c r="AP60" s="28">
        <v>15</v>
      </c>
      <c r="AQ60" s="1">
        <v>37</v>
      </c>
      <c r="AR60" s="28">
        <v>93</v>
      </c>
      <c r="AS60" s="1">
        <v>34</v>
      </c>
      <c r="AT60" s="28">
        <v>85</v>
      </c>
      <c r="AU60" s="1">
        <v>74</v>
      </c>
      <c r="AV60" s="28">
        <v>93</v>
      </c>
      <c r="AW60" s="1">
        <v>74</v>
      </c>
      <c r="AX60" s="28">
        <v>93</v>
      </c>
      <c r="AY60" s="30">
        <f t="shared" si="6"/>
        <v>2.9515820563583421</v>
      </c>
      <c r="AZ60" s="31">
        <f t="shared" si="7"/>
        <v>2.8747090449026191</v>
      </c>
      <c r="BA60" s="1">
        <v>25</v>
      </c>
      <c r="BB60" s="52">
        <v>83</v>
      </c>
      <c r="BC60" s="1">
        <v>13</v>
      </c>
      <c r="BD60" s="52">
        <v>87</v>
      </c>
      <c r="BE60" s="1">
        <v>12</v>
      </c>
      <c r="BF60" s="52">
        <v>80</v>
      </c>
      <c r="BG60" s="1">
        <v>28</v>
      </c>
      <c r="BH60" s="52">
        <v>93</v>
      </c>
      <c r="BI60" s="1">
        <v>29</v>
      </c>
      <c r="BJ60" s="52">
        <v>97</v>
      </c>
      <c r="BK60" s="1">
        <v>47</v>
      </c>
      <c r="BL60" s="28">
        <v>73</v>
      </c>
      <c r="BM60" s="1">
        <v>59</v>
      </c>
      <c r="BN60" s="28">
        <v>79</v>
      </c>
      <c r="BO60" s="21">
        <f t="shared" si="8"/>
        <v>28.921568627450984</v>
      </c>
      <c r="BP60" s="1">
        <v>48</v>
      </c>
      <c r="BQ60" s="28">
        <v>92</v>
      </c>
      <c r="BR60" s="23" t="s">
        <v>185</v>
      </c>
      <c r="BS60" s="52">
        <v>0.5</v>
      </c>
      <c r="BT60" s="1">
        <v>34</v>
      </c>
      <c r="BU60" s="52">
        <v>85</v>
      </c>
      <c r="BV60" s="52">
        <v>2</v>
      </c>
      <c r="BW60" s="1">
        <v>38</v>
      </c>
      <c r="BX60" s="52">
        <v>95</v>
      </c>
      <c r="BY60" s="52">
        <v>3</v>
      </c>
      <c r="BZ60" s="23" t="s">
        <v>221</v>
      </c>
      <c r="CA60" s="23" t="s">
        <v>221</v>
      </c>
      <c r="CB60" s="136" t="s">
        <v>222</v>
      </c>
      <c r="CC60" s="34">
        <v>0.54500000000000004</v>
      </c>
      <c r="CD60" s="3">
        <v>94</v>
      </c>
      <c r="CE60" s="3">
        <v>97</v>
      </c>
      <c r="CF60" s="3">
        <v>95</v>
      </c>
      <c r="CG60" s="1">
        <v>100</v>
      </c>
      <c r="CH60" s="5" t="s">
        <v>140</v>
      </c>
      <c r="CI60" s="3" t="s">
        <v>136</v>
      </c>
      <c r="CJ60" s="3" t="s">
        <v>136</v>
      </c>
      <c r="CK60" s="3" t="s">
        <v>136</v>
      </c>
      <c r="CL60" s="1"/>
      <c r="CM60" s="3" t="s">
        <v>137</v>
      </c>
      <c r="CN60" s="3" t="s">
        <v>136</v>
      </c>
      <c r="CO60" s="3" t="s">
        <v>136</v>
      </c>
      <c r="CP60" s="3" t="s">
        <v>136</v>
      </c>
      <c r="CQ60" s="3">
        <v>1</v>
      </c>
      <c r="CR60" s="1"/>
      <c r="CS60" s="1" t="s">
        <v>138</v>
      </c>
      <c r="CT60" s="1" t="s">
        <v>138</v>
      </c>
      <c r="CU60" s="1" t="s">
        <v>138</v>
      </c>
      <c r="CV60" s="1" t="s">
        <v>138</v>
      </c>
      <c r="CW60" s="1" t="s">
        <v>138</v>
      </c>
    </row>
    <row r="61" spans="1:192">
      <c r="A61" s="190">
        <v>20041</v>
      </c>
      <c r="B61" s="60"/>
      <c r="C61" s="12">
        <v>74.8</v>
      </c>
      <c r="D61" s="12">
        <v>8</v>
      </c>
      <c r="E61" s="12">
        <v>5</v>
      </c>
      <c r="F61" s="12">
        <v>13</v>
      </c>
      <c r="G61" s="12">
        <v>9.6</v>
      </c>
      <c r="H61" s="12">
        <v>7.6</v>
      </c>
      <c r="I61" s="15">
        <v>7.2</v>
      </c>
      <c r="J61" s="12" t="s">
        <v>223</v>
      </c>
      <c r="K61" s="61"/>
      <c r="L61" s="61"/>
      <c r="M61" s="61"/>
      <c r="N61" s="62"/>
      <c r="O61" s="62"/>
      <c r="P61" s="62"/>
      <c r="Q61" s="62"/>
      <c r="R61" s="62"/>
      <c r="S61" s="62"/>
      <c r="T61" s="64"/>
      <c r="U61" s="64"/>
      <c r="V61" s="64"/>
      <c r="W61" s="65"/>
      <c r="X61" s="64"/>
      <c r="Y61" s="65"/>
      <c r="Z61" s="64"/>
      <c r="AA61" s="64"/>
      <c r="AB61" s="64"/>
      <c r="AC61" s="64"/>
      <c r="AD61" s="62"/>
      <c r="AE61" s="64"/>
      <c r="AF61" s="12" t="s">
        <v>167</v>
      </c>
      <c r="AG61" s="1" t="s">
        <v>130</v>
      </c>
      <c r="AH61" s="1" t="s">
        <v>146</v>
      </c>
      <c r="AI61" s="1">
        <v>12</v>
      </c>
      <c r="AJ61" s="65">
        <v>64</v>
      </c>
      <c r="AK61" s="65">
        <v>124</v>
      </c>
      <c r="AL61" s="65" t="s">
        <v>132</v>
      </c>
      <c r="AM61" s="8" t="s">
        <v>165</v>
      </c>
      <c r="AN61" s="8" t="s">
        <v>165</v>
      </c>
      <c r="AO61" s="12"/>
      <c r="AP61" s="65"/>
      <c r="AQ61" s="12"/>
      <c r="AR61" s="65"/>
      <c r="AS61" s="12"/>
      <c r="AT61" s="65"/>
      <c r="AU61" s="12"/>
      <c r="AV61" s="65"/>
      <c r="AW61" s="12"/>
      <c r="AX61" s="65"/>
      <c r="AY61" s="66"/>
      <c r="AZ61" s="31">
        <f t="shared" si="7"/>
        <v>-5.0042129466861276</v>
      </c>
      <c r="BA61" s="12">
        <v>27</v>
      </c>
      <c r="BB61" s="63">
        <v>90</v>
      </c>
      <c r="BC61" s="12">
        <v>14</v>
      </c>
      <c r="BD61" s="63">
        <v>93</v>
      </c>
      <c r="BE61" s="12">
        <v>13</v>
      </c>
      <c r="BF61" s="63">
        <v>87</v>
      </c>
      <c r="BG61" s="12">
        <v>21</v>
      </c>
      <c r="BH61" s="63">
        <v>70</v>
      </c>
      <c r="BI61" s="12">
        <v>29</v>
      </c>
      <c r="BJ61" s="63">
        <v>97</v>
      </c>
      <c r="BK61" s="12">
        <v>52</v>
      </c>
      <c r="BL61" s="65">
        <v>81</v>
      </c>
      <c r="BM61" s="12"/>
      <c r="BN61" s="65"/>
      <c r="BO61" s="68"/>
      <c r="BP61" s="12">
        <v>43</v>
      </c>
      <c r="BQ61" s="65">
        <v>83</v>
      </c>
      <c r="BR61" s="60"/>
      <c r="BS61" s="63"/>
      <c r="BT61" s="12"/>
      <c r="BU61" s="63"/>
      <c r="BV61" s="63"/>
      <c r="BW61" s="12">
        <v>36</v>
      </c>
      <c r="BX61" s="63">
        <v>90</v>
      </c>
      <c r="BY61" s="63">
        <v>2.4</v>
      </c>
      <c r="BZ61" s="60"/>
      <c r="CA61" s="60"/>
      <c r="CB61" s="8" t="s">
        <v>165</v>
      </c>
      <c r="CC61" s="8" t="s">
        <v>165</v>
      </c>
      <c r="CD61" s="10"/>
      <c r="CE61" s="10"/>
      <c r="CF61" s="10"/>
      <c r="CG61" s="12"/>
      <c r="CH61" s="7" t="s">
        <v>129</v>
      </c>
      <c r="CI61" s="10"/>
      <c r="CJ61" s="10"/>
      <c r="CK61" s="10"/>
      <c r="CL61" s="12"/>
      <c r="CM61" s="10"/>
      <c r="CN61" s="10"/>
      <c r="CO61" s="10"/>
      <c r="CP61" s="10"/>
      <c r="CQ61" s="10"/>
      <c r="CR61" s="12"/>
      <c r="CS61" s="12"/>
      <c r="CT61" s="12"/>
      <c r="CU61" s="12">
        <v>100</v>
      </c>
      <c r="CV61" s="12">
        <v>100</v>
      </c>
      <c r="CW61" s="12">
        <v>100</v>
      </c>
      <c r="CX61" s="10"/>
      <c r="CY61" s="10"/>
      <c r="CZ61" s="10"/>
      <c r="DA61" s="10"/>
      <c r="DB61" s="10"/>
      <c r="DC61" s="10"/>
      <c r="DD61" s="10"/>
      <c r="DE61" s="10"/>
      <c r="DF61" s="10"/>
      <c r="DG61" s="10"/>
      <c r="DH61" s="10"/>
      <c r="DI61" s="10"/>
      <c r="DK61" s="10"/>
      <c r="DL61" s="10"/>
      <c r="DM61" s="10"/>
      <c r="DN61" s="10"/>
      <c r="DO61" s="10"/>
      <c r="DP61" s="10"/>
      <c r="DQ61" s="10"/>
      <c r="DR61" s="10"/>
      <c r="DS61" s="10"/>
      <c r="DT61" s="10"/>
      <c r="DU61" s="10"/>
      <c r="DV61" s="10"/>
      <c r="DW61" s="10"/>
      <c r="DX61" s="10"/>
      <c r="DY61" s="10"/>
      <c r="DZ61" s="10"/>
      <c r="EA61" s="10"/>
      <c r="EB61" s="10"/>
      <c r="EC61" s="10"/>
      <c r="ED61" s="10"/>
      <c r="EE61" s="10"/>
      <c r="EF61" s="10"/>
      <c r="EG61" s="10"/>
      <c r="EH61" s="10"/>
      <c r="EI61" s="10"/>
      <c r="EJ61" s="10"/>
      <c r="EK61" s="10"/>
      <c r="EL61" s="10"/>
      <c r="EM61" s="10"/>
      <c r="EN61" s="10"/>
      <c r="EO61" s="10"/>
      <c r="EP61" s="10"/>
      <c r="EQ61" s="10"/>
      <c r="ER61" s="10"/>
      <c r="ES61" s="10"/>
      <c r="ET61" s="10"/>
      <c r="EU61" s="10"/>
      <c r="EV61" s="10"/>
      <c r="EW61" s="10"/>
      <c r="EX61" s="10"/>
      <c r="EY61" s="10"/>
      <c r="EZ61" s="10"/>
      <c r="FA61" s="10"/>
      <c r="FB61" s="10"/>
      <c r="FC61" s="10"/>
      <c r="FD61" s="10"/>
      <c r="FE61" s="10"/>
      <c r="FF61" s="10"/>
      <c r="FG61" s="10"/>
      <c r="FH61" s="10"/>
      <c r="FI61" s="10"/>
      <c r="FJ61" s="10"/>
      <c r="FK61" s="10"/>
      <c r="FL61" s="10"/>
      <c r="FM61" s="10"/>
      <c r="FN61" s="10"/>
      <c r="FO61" s="10"/>
      <c r="FP61" s="10"/>
      <c r="FQ61" s="10"/>
      <c r="FR61" s="10"/>
      <c r="FS61" s="10"/>
      <c r="FT61" s="10"/>
      <c r="FU61" s="10"/>
      <c r="FV61" s="10"/>
      <c r="FW61" s="10"/>
      <c r="FX61" s="10"/>
      <c r="FY61" s="10"/>
      <c r="FZ61" s="10"/>
      <c r="GA61" s="10"/>
      <c r="GB61" s="10"/>
      <c r="GC61" s="10"/>
      <c r="GD61" s="10"/>
      <c r="GE61" s="10"/>
      <c r="GF61" s="10"/>
      <c r="GG61" s="10"/>
      <c r="GH61" s="10"/>
      <c r="GI61" s="10"/>
      <c r="GJ61" s="10"/>
    </row>
    <row r="62" spans="1:192" s="2" customFormat="1" ht="60">
      <c r="A62" s="190">
        <v>20042</v>
      </c>
      <c r="B62" s="23" t="s">
        <v>166</v>
      </c>
      <c r="C62" s="3">
        <v>71.2</v>
      </c>
      <c r="D62" s="1">
        <v>8</v>
      </c>
      <c r="E62" s="3">
        <v>5</v>
      </c>
      <c r="F62" s="1">
        <v>13</v>
      </c>
      <c r="G62" s="3">
        <v>8.1999999999999993</v>
      </c>
      <c r="H62" s="1">
        <v>6.9</v>
      </c>
      <c r="I62" s="15">
        <v>7.5</v>
      </c>
      <c r="J62" s="3" t="s">
        <v>145</v>
      </c>
      <c r="K62" s="27">
        <v>3.116E-2</v>
      </c>
      <c r="L62" s="27">
        <v>1.721E-2</v>
      </c>
      <c r="M62" s="27">
        <v>7.7400000000000004E-3</v>
      </c>
      <c r="N62" s="27">
        <v>3.116E-2</v>
      </c>
      <c r="O62" s="27">
        <v>1.721E-2</v>
      </c>
      <c r="P62" s="27">
        <v>7.7400000000000004E-3</v>
      </c>
      <c r="Q62" s="27">
        <v>0.76400000000000001</v>
      </c>
      <c r="R62" s="27">
        <v>3.6999999999999998E-2</v>
      </c>
      <c r="S62" s="27">
        <v>0.05</v>
      </c>
      <c r="T62" s="27">
        <v>6.0000000000000001E-3</v>
      </c>
      <c r="U62" s="27">
        <v>0.14299999999999999</v>
      </c>
      <c r="V62" s="27">
        <v>0</v>
      </c>
      <c r="W62" s="52">
        <v>70</v>
      </c>
      <c r="X62" s="27">
        <v>0.70299999999999996</v>
      </c>
      <c r="Y62" s="52">
        <v>123</v>
      </c>
      <c r="Z62" s="27">
        <v>3.4000000000000002E-2</v>
      </c>
      <c r="AA62" s="27">
        <v>4.5999999999999999E-2</v>
      </c>
      <c r="AB62" s="27">
        <v>6.0000000000000001E-3</v>
      </c>
      <c r="AC62" s="27">
        <v>0.13100000000000001</v>
      </c>
      <c r="AD62" s="27">
        <f t="shared" ref="AD62:AD72" si="9">AC62+AA62</f>
        <v>0.17699999999999999</v>
      </c>
      <c r="AE62" s="27">
        <v>0</v>
      </c>
      <c r="AF62" s="1" t="s">
        <v>167</v>
      </c>
      <c r="AG62" s="3" t="s">
        <v>130</v>
      </c>
      <c r="AH62" s="3" t="s">
        <v>146</v>
      </c>
      <c r="AI62" s="3">
        <v>12</v>
      </c>
      <c r="AJ62" s="3">
        <v>53</v>
      </c>
      <c r="AK62" s="3">
        <v>61</v>
      </c>
      <c r="AL62" s="3" t="s">
        <v>132</v>
      </c>
      <c r="AM62" s="1">
        <v>165</v>
      </c>
      <c r="AN62" s="3">
        <v>94</v>
      </c>
      <c r="AO62" s="1">
        <v>38</v>
      </c>
      <c r="AP62" s="3">
        <v>63</v>
      </c>
      <c r="AQ62" s="1">
        <v>37</v>
      </c>
      <c r="AR62" s="3">
        <v>93</v>
      </c>
      <c r="AS62" s="1">
        <v>33</v>
      </c>
      <c r="AT62" s="3">
        <v>83</v>
      </c>
      <c r="AU62" s="1">
        <v>73</v>
      </c>
      <c r="AV62" s="3">
        <v>91</v>
      </c>
      <c r="AW62" s="1">
        <v>79</v>
      </c>
      <c r="AX62" s="3">
        <v>99</v>
      </c>
      <c r="AY62" s="30">
        <f t="shared" ref="AY62:AY106" si="10">NORMINV(AV62/100,0,1)-NORMINV(1-(AX62/100),0,1)</f>
        <v>3.6671029077310568</v>
      </c>
      <c r="AZ62" s="31">
        <f t="shared" si="7"/>
        <v>3.4533925145637143</v>
      </c>
      <c r="BA62" s="1">
        <v>24</v>
      </c>
      <c r="BB62" s="3">
        <v>80</v>
      </c>
      <c r="BC62" s="1">
        <v>15</v>
      </c>
      <c r="BD62" s="3">
        <v>100</v>
      </c>
      <c r="BE62" s="1">
        <v>9</v>
      </c>
      <c r="BF62" s="3">
        <v>60</v>
      </c>
      <c r="BG62" s="1">
        <v>19</v>
      </c>
      <c r="BH62" s="3">
        <v>63</v>
      </c>
      <c r="BI62" s="1">
        <v>28</v>
      </c>
      <c r="BJ62" s="3">
        <v>93</v>
      </c>
      <c r="BK62" s="1">
        <v>51</v>
      </c>
      <c r="BL62" s="3">
        <v>80</v>
      </c>
      <c r="BM62" s="1">
        <v>171</v>
      </c>
      <c r="BN62" s="3">
        <v>85</v>
      </c>
      <c r="BO62" s="21">
        <f>(BM62/204)*100</f>
        <v>83.82352941176471</v>
      </c>
      <c r="BP62" s="1">
        <v>49</v>
      </c>
      <c r="BQ62" s="3">
        <v>94</v>
      </c>
      <c r="BR62" s="80" t="s">
        <v>133</v>
      </c>
      <c r="BS62" s="3">
        <v>2.6</v>
      </c>
      <c r="BT62" s="1">
        <v>34</v>
      </c>
      <c r="BU62" s="3">
        <v>85</v>
      </c>
      <c r="BV62" s="3">
        <v>2.17</v>
      </c>
      <c r="BW62" s="1">
        <v>40</v>
      </c>
      <c r="BX62" s="3">
        <v>100</v>
      </c>
      <c r="BY62" s="3">
        <v>4</v>
      </c>
      <c r="BZ62" s="3" t="s">
        <v>134</v>
      </c>
      <c r="CA62" s="111" t="s">
        <v>204</v>
      </c>
      <c r="CB62" s="33">
        <v>7</v>
      </c>
      <c r="CC62" s="34">
        <v>0.04</v>
      </c>
      <c r="CD62" s="3">
        <v>98</v>
      </c>
      <c r="CE62" s="3">
        <v>98</v>
      </c>
      <c r="CF62" s="3">
        <v>100</v>
      </c>
      <c r="CG62" s="1">
        <v>70</v>
      </c>
      <c r="CH62" s="5" t="s">
        <v>153</v>
      </c>
      <c r="CI62" s="3" t="s">
        <v>136</v>
      </c>
      <c r="CJ62" s="3" t="s">
        <v>136</v>
      </c>
      <c r="CK62" s="3" t="s">
        <v>136</v>
      </c>
      <c r="CL62" s="1"/>
      <c r="CM62" s="3" t="s">
        <v>168</v>
      </c>
      <c r="CN62" s="3" t="s">
        <v>136</v>
      </c>
      <c r="CO62" s="3" t="s">
        <v>136</v>
      </c>
      <c r="CP62" s="3" t="s">
        <v>136</v>
      </c>
      <c r="CQ62" s="3">
        <v>1</v>
      </c>
      <c r="CR62" s="1"/>
      <c r="CS62" s="1" t="s">
        <v>138</v>
      </c>
      <c r="CT62" s="1" t="s">
        <v>138</v>
      </c>
      <c r="CU62" s="1" t="s">
        <v>138</v>
      </c>
      <c r="CV62" s="1" t="s">
        <v>138</v>
      </c>
      <c r="CW62" s="1" t="s">
        <v>138</v>
      </c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5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</row>
    <row r="63" spans="1:192" s="13" customFormat="1" ht="60">
      <c r="A63" s="190">
        <v>20043</v>
      </c>
      <c r="B63" s="51" t="s">
        <v>127</v>
      </c>
      <c r="C63" s="3">
        <v>88.5</v>
      </c>
      <c r="D63" s="1">
        <v>9</v>
      </c>
      <c r="E63" s="3">
        <v>9</v>
      </c>
      <c r="F63" s="1">
        <v>18</v>
      </c>
      <c r="G63" s="3">
        <v>8.9499999999999993</v>
      </c>
      <c r="H63" s="1">
        <v>9</v>
      </c>
      <c r="I63" s="15">
        <v>8.3000000000000007</v>
      </c>
      <c r="J63" s="3" t="s">
        <v>128</v>
      </c>
      <c r="K63" s="27">
        <v>4.6559999999999997E-2</v>
      </c>
      <c r="L63" s="27">
        <v>1.37E-2</v>
      </c>
      <c r="M63" s="27">
        <v>1.0109999999999999E-2</v>
      </c>
      <c r="N63" s="27">
        <v>4.6559999999999997E-2</v>
      </c>
      <c r="O63" s="27">
        <v>1.37E-2</v>
      </c>
      <c r="P63" s="27">
        <v>1.0109999999999999E-2</v>
      </c>
      <c r="Q63" s="27">
        <v>0.81899999999999995</v>
      </c>
      <c r="R63" s="27">
        <v>6.0000000000000001E-3</v>
      </c>
      <c r="S63" s="27">
        <v>2.9000000000000001E-2</v>
      </c>
      <c r="T63" s="27">
        <v>2.3E-2</v>
      </c>
      <c r="U63" s="27">
        <v>0.123</v>
      </c>
      <c r="V63" s="27">
        <v>0</v>
      </c>
      <c r="W63" s="52">
        <v>80</v>
      </c>
      <c r="X63" s="27">
        <v>0.8</v>
      </c>
      <c r="Y63" s="52">
        <v>140</v>
      </c>
      <c r="Z63" s="27">
        <v>6.0000000000000001E-3</v>
      </c>
      <c r="AA63" s="27">
        <v>2.9000000000000001E-2</v>
      </c>
      <c r="AB63" s="27">
        <v>2.3E-2</v>
      </c>
      <c r="AC63" s="27">
        <v>0.12</v>
      </c>
      <c r="AD63" s="27">
        <f t="shared" si="9"/>
        <v>0.14899999999999999</v>
      </c>
      <c r="AE63" s="27">
        <v>0</v>
      </c>
      <c r="AF63" s="1" t="s">
        <v>167</v>
      </c>
      <c r="AG63" s="3" t="s">
        <v>130</v>
      </c>
      <c r="AH63" s="3" t="s">
        <v>131</v>
      </c>
      <c r="AI63" s="3">
        <v>12</v>
      </c>
      <c r="AJ63" s="3">
        <v>62</v>
      </c>
      <c r="AK63" s="3">
        <v>31</v>
      </c>
      <c r="AL63" s="3" t="s">
        <v>132</v>
      </c>
      <c r="AM63" s="1">
        <v>150</v>
      </c>
      <c r="AN63" s="3">
        <v>86</v>
      </c>
      <c r="AO63" s="1">
        <v>28</v>
      </c>
      <c r="AP63" s="3">
        <v>47</v>
      </c>
      <c r="AQ63" s="1">
        <v>38</v>
      </c>
      <c r="AR63" s="3">
        <v>95</v>
      </c>
      <c r="AS63" s="1">
        <v>36</v>
      </c>
      <c r="AT63" s="3">
        <v>90</v>
      </c>
      <c r="AU63" s="1">
        <v>72</v>
      </c>
      <c r="AV63" s="3">
        <v>90</v>
      </c>
      <c r="AW63" s="1">
        <v>77</v>
      </c>
      <c r="AX63" s="3">
        <v>96</v>
      </c>
      <c r="AY63" s="30">
        <f t="shared" si="10"/>
        <v>3.0322376367967703</v>
      </c>
      <c r="AZ63" s="31">
        <f t="shared" si="7"/>
        <v>2.9421822108816627</v>
      </c>
      <c r="BA63" s="1">
        <v>20</v>
      </c>
      <c r="BB63" s="3">
        <v>67</v>
      </c>
      <c r="BC63" s="1">
        <v>10</v>
      </c>
      <c r="BD63" s="3">
        <v>67</v>
      </c>
      <c r="BE63" s="1">
        <v>10</v>
      </c>
      <c r="BF63" s="3">
        <v>67</v>
      </c>
      <c r="BG63" s="1">
        <v>25</v>
      </c>
      <c r="BH63" s="3">
        <v>83</v>
      </c>
      <c r="BI63" s="1">
        <v>30</v>
      </c>
      <c r="BJ63" s="3">
        <v>100</v>
      </c>
      <c r="BK63" s="1">
        <v>55</v>
      </c>
      <c r="BL63" s="3">
        <v>86</v>
      </c>
      <c r="BM63" s="1">
        <v>162</v>
      </c>
      <c r="BN63" s="3">
        <v>83</v>
      </c>
      <c r="BO63" s="21">
        <f>(BM63/204)*100</f>
        <v>79.411764705882348</v>
      </c>
      <c r="BP63" s="1">
        <v>49</v>
      </c>
      <c r="BQ63" s="3">
        <v>94</v>
      </c>
      <c r="BR63" s="80" t="s">
        <v>185</v>
      </c>
      <c r="BS63" s="3">
        <v>3.2</v>
      </c>
      <c r="BT63" s="1">
        <v>34</v>
      </c>
      <c r="BU63" s="3">
        <v>85</v>
      </c>
      <c r="BV63" s="3">
        <v>2.4500000000000002</v>
      </c>
      <c r="BW63" s="1">
        <v>37</v>
      </c>
      <c r="BX63" s="3">
        <v>93</v>
      </c>
      <c r="BY63" s="3">
        <v>4</v>
      </c>
      <c r="BZ63" s="3" t="s">
        <v>170</v>
      </c>
      <c r="CA63" s="23" t="s">
        <v>147</v>
      </c>
      <c r="CB63" s="33">
        <v>10</v>
      </c>
      <c r="CC63" s="34">
        <v>5.7142857142857141E-2</v>
      </c>
      <c r="CD63" s="3">
        <v>98</v>
      </c>
      <c r="CE63" s="3">
        <v>99</v>
      </c>
      <c r="CF63" s="3">
        <v>98</v>
      </c>
      <c r="CG63" s="1">
        <v>100</v>
      </c>
      <c r="CH63" s="5" t="s">
        <v>140</v>
      </c>
      <c r="CI63" s="3" t="s">
        <v>136</v>
      </c>
      <c r="CJ63" s="3" t="s">
        <v>136</v>
      </c>
      <c r="CK63" s="49" t="s">
        <v>142</v>
      </c>
      <c r="CL63" s="3"/>
      <c r="CM63" s="3" t="s">
        <v>137</v>
      </c>
      <c r="CN63" s="3" t="s">
        <v>188</v>
      </c>
      <c r="CR63" s="1" t="s">
        <v>138</v>
      </c>
      <c r="CS63" s="1" t="s">
        <v>138</v>
      </c>
      <c r="CT63" s="1" t="s">
        <v>138</v>
      </c>
      <c r="CU63" s="1" t="s">
        <v>138</v>
      </c>
      <c r="CV63" s="1" t="s">
        <v>138</v>
      </c>
      <c r="CW63" s="1" t="s">
        <v>138</v>
      </c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5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</row>
    <row r="64" spans="1:192" s="13" customFormat="1" ht="60">
      <c r="A64" s="190">
        <v>20044</v>
      </c>
      <c r="B64" s="23" t="s">
        <v>166</v>
      </c>
      <c r="C64" s="1">
        <v>89</v>
      </c>
      <c r="D64" s="1">
        <v>9</v>
      </c>
      <c r="E64" s="1">
        <v>9</v>
      </c>
      <c r="F64" s="1">
        <v>18</v>
      </c>
      <c r="G64" s="1">
        <v>9</v>
      </c>
      <c r="H64" s="1">
        <v>9</v>
      </c>
      <c r="I64" s="15">
        <v>8.5</v>
      </c>
      <c r="J64" s="1" t="s">
        <v>128</v>
      </c>
      <c r="K64" s="26">
        <v>6.4360000000000001E-2</v>
      </c>
      <c r="L64" s="26">
        <v>7.4319999999999997E-2</v>
      </c>
      <c r="M64" s="26">
        <v>1.0300000000000001E-3</v>
      </c>
      <c r="N64" s="74">
        <v>3.7999999999999999E-2</v>
      </c>
      <c r="O64" s="74">
        <v>0.05</v>
      </c>
      <c r="P64" s="74">
        <v>4.0000000000000001E-3</v>
      </c>
      <c r="Q64" s="27">
        <v>0.97099999999999997</v>
      </c>
      <c r="R64" s="27">
        <v>1.2E-2</v>
      </c>
      <c r="S64" s="27">
        <v>0</v>
      </c>
      <c r="T64" s="27">
        <v>1.7999999999999999E-2</v>
      </c>
      <c r="U64" s="27">
        <v>0</v>
      </c>
      <c r="V64" s="27">
        <v>0</v>
      </c>
      <c r="W64" s="28">
        <v>95</v>
      </c>
      <c r="X64" s="18">
        <v>0.94857142857142862</v>
      </c>
      <c r="Y64" s="28">
        <v>166</v>
      </c>
      <c r="Z64" s="18">
        <v>1.0999999999999999E-2</v>
      </c>
      <c r="AA64" s="18">
        <v>0</v>
      </c>
      <c r="AB64" s="18">
        <v>1.7000000000000001E-2</v>
      </c>
      <c r="AC64" s="18">
        <v>0</v>
      </c>
      <c r="AD64" s="27">
        <f t="shared" si="9"/>
        <v>0</v>
      </c>
      <c r="AE64" s="18">
        <v>0</v>
      </c>
      <c r="AF64" s="1" t="s">
        <v>167</v>
      </c>
      <c r="AG64" s="1" t="s">
        <v>130</v>
      </c>
      <c r="AH64" s="1" t="s">
        <v>146</v>
      </c>
      <c r="AI64" s="1">
        <v>16</v>
      </c>
      <c r="AJ64" s="108">
        <v>63</v>
      </c>
      <c r="AK64" s="1">
        <v>22</v>
      </c>
      <c r="AL64" s="1" t="s">
        <v>132</v>
      </c>
      <c r="AM64" s="108" t="s">
        <v>224</v>
      </c>
      <c r="AN64" s="1">
        <v>99</v>
      </c>
      <c r="AO64" s="1">
        <v>59</v>
      </c>
      <c r="AP64" s="3">
        <v>98</v>
      </c>
      <c r="AQ64" s="1">
        <v>40</v>
      </c>
      <c r="AR64" s="1">
        <v>100</v>
      </c>
      <c r="AS64" s="1">
        <v>38</v>
      </c>
      <c r="AT64" s="1">
        <v>95</v>
      </c>
      <c r="AU64" s="1">
        <v>77</v>
      </c>
      <c r="AV64" s="1">
        <v>96</v>
      </c>
      <c r="AW64" s="1">
        <v>76</v>
      </c>
      <c r="AX64" s="1">
        <v>95</v>
      </c>
      <c r="AY64" s="30">
        <f t="shared" si="10"/>
        <v>3.395539698203641</v>
      </c>
      <c r="AZ64" s="31">
        <f t="shared" si="7"/>
        <v>3.2814960447310035</v>
      </c>
      <c r="BA64" s="1">
        <v>28</v>
      </c>
      <c r="BB64" s="1">
        <v>93</v>
      </c>
      <c r="BC64" s="1">
        <v>14</v>
      </c>
      <c r="BD64" s="1">
        <v>93</v>
      </c>
      <c r="BE64" s="1">
        <v>14</v>
      </c>
      <c r="BF64" s="1">
        <v>93</v>
      </c>
      <c r="BG64" s="1">
        <v>28</v>
      </c>
      <c r="BH64" s="1">
        <v>93</v>
      </c>
      <c r="BI64" s="1">
        <v>30</v>
      </c>
      <c r="BJ64" s="1">
        <v>100</v>
      </c>
      <c r="BK64" s="1">
        <v>45</v>
      </c>
      <c r="BL64" s="3">
        <v>70</v>
      </c>
      <c r="BM64" s="1">
        <v>178</v>
      </c>
      <c r="BN64" s="3">
        <v>87</v>
      </c>
      <c r="BO64" s="21">
        <f>(BM64/204)*100</f>
        <v>87.254901960784309</v>
      </c>
      <c r="BP64" s="1">
        <v>46</v>
      </c>
      <c r="BQ64" s="3">
        <v>88</v>
      </c>
      <c r="BR64" s="23" t="s">
        <v>133</v>
      </c>
      <c r="BS64" s="3">
        <v>4</v>
      </c>
      <c r="BT64" s="1">
        <v>36</v>
      </c>
      <c r="BU64" s="3">
        <v>90</v>
      </c>
      <c r="BV64" s="3">
        <v>2.71</v>
      </c>
      <c r="BW64" s="1">
        <v>40</v>
      </c>
      <c r="BX64" s="3">
        <v>100</v>
      </c>
      <c r="BY64" s="3">
        <v>6.47</v>
      </c>
      <c r="BZ64" s="23" t="s">
        <v>134</v>
      </c>
      <c r="CA64" s="23" t="s">
        <v>134</v>
      </c>
      <c r="CB64" s="33">
        <v>0</v>
      </c>
      <c r="CC64" s="34">
        <v>0</v>
      </c>
      <c r="CD64" s="3">
        <v>94</v>
      </c>
      <c r="CE64" s="3">
        <v>94</v>
      </c>
      <c r="CF64" s="3">
        <v>98</v>
      </c>
      <c r="CG64" s="1">
        <v>100</v>
      </c>
      <c r="CH64" s="1" t="s">
        <v>140</v>
      </c>
      <c r="CI64" s="3" t="s">
        <v>136</v>
      </c>
      <c r="CJ64" s="3" t="s">
        <v>136</v>
      </c>
      <c r="CK64" s="49" t="s">
        <v>142</v>
      </c>
      <c r="CL64" s="3"/>
      <c r="CM64" s="3" t="s">
        <v>212</v>
      </c>
      <c r="CN64" s="3" t="s">
        <v>188</v>
      </c>
      <c r="CR64" s="1" t="s">
        <v>138</v>
      </c>
      <c r="CS64" s="1" t="s">
        <v>138</v>
      </c>
      <c r="CT64" s="1" t="s">
        <v>138</v>
      </c>
      <c r="CU64" s="1" t="s">
        <v>138</v>
      </c>
      <c r="CV64" s="1" t="s">
        <v>138</v>
      </c>
      <c r="CW64" s="1" t="s">
        <v>138</v>
      </c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5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</row>
    <row r="65" spans="1:192" ht="45">
      <c r="A65" s="190">
        <v>20045</v>
      </c>
      <c r="B65" s="24" t="s">
        <v>225</v>
      </c>
      <c r="C65" s="3">
        <v>34.200000000000003</v>
      </c>
      <c r="D65" s="3">
        <v>4</v>
      </c>
      <c r="E65" s="3">
        <v>1</v>
      </c>
      <c r="F65" s="3">
        <v>5</v>
      </c>
      <c r="G65" s="3">
        <v>7.7</v>
      </c>
      <c r="H65" s="3">
        <v>2.7</v>
      </c>
      <c r="I65" s="3">
        <v>1.7</v>
      </c>
      <c r="J65" s="3" t="s">
        <v>226</v>
      </c>
      <c r="K65" s="27">
        <v>1.5E-3</v>
      </c>
      <c r="L65" s="27">
        <v>1.6109999999999999E-2</v>
      </c>
      <c r="M65" s="27">
        <v>2.247E-2</v>
      </c>
      <c r="N65" s="27">
        <v>1.5E-3</v>
      </c>
      <c r="O65" s="27">
        <v>1.6109999999999999E-2</v>
      </c>
      <c r="P65" s="27">
        <v>2.247E-2</v>
      </c>
      <c r="Q65" s="27">
        <v>0.10299999999999999</v>
      </c>
      <c r="R65" s="27">
        <v>9.1999999999999998E-2</v>
      </c>
      <c r="S65" s="27">
        <v>0.20699999999999999</v>
      </c>
      <c r="T65" s="27">
        <v>2.3E-2</v>
      </c>
      <c r="U65" s="27">
        <v>0.33300000000000002</v>
      </c>
      <c r="V65" s="27">
        <v>0.24099999999999999</v>
      </c>
      <c r="W65" s="52">
        <v>5</v>
      </c>
      <c r="X65" s="27">
        <v>5.0999999999999997E-2</v>
      </c>
      <c r="Y65" s="52">
        <v>9</v>
      </c>
      <c r="Z65" s="27">
        <v>4.5999999999999999E-2</v>
      </c>
      <c r="AA65" s="27">
        <v>0.10299999999999999</v>
      </c>
      <c r="AB65" s="27">
        <v>1.0999999999999999E-2</v>
      </c>
      <c r="AC65" s="27">
        <v>0.16600000000000001</v>
      </c>
      <c r="AD65" s="27">
        <f t="shared" si="9"/>
        <v>0.26900000000000002</v>
      </c>
      <c r="AE65" s="27">
        <v>0.12</v>
      </c>
      <c r="AF65" s="3" t="s">
        <v>172</v>
      </c>
      <c r="AG65" s="3" t="s">
        <v>156</v>
      </c>
      <c r="AH65" s="3" t="s">
        <v>177</v>
      </c>
      <c r="AI65" s="3">
        <v>12</v>
      </c>
      <c r="AJ65" s="3">
        <v>77</v>
      </c>
      <c r="AK65" s="3">
        <v>98</v>
      </c>
      <c r="AL65" s="3" t="s">
        <v>158</v>
      </c>
      <c r="AM65" s="3">
        <v>68</v>
      </c>
      <c r="AN65" s="3">
        <v>39</v>
      </c>
      <c r="AO65" s="3">
        <v>1</v>
      </c>
      <c r="AP65" s="3">
        <v>2</v>
      </c>
      <c r="AQ65" s="3">
        <v>29</v>
      </c>
      <c r="AR65" s="3">
        <v>73</v>
      </c>
      <c r="AS65" s="3">
        <v>27</v>
      </c>
      <c r="AT65" s="3">
        <v>68</v>
      </c>
      <c r="AU65" s="3">
        <v>63</v>
      </c>
      <c r="AV65" s="3">
        <v>85</v>
      </c>
      <c r="AW65" s="3">
        <v>50</v>
      </c>
      <c r="AX65" s="3">
        <v>63</v>
      </c>
      <c r="AY65" s="3">
        <f t="shared" si="10"/>
        <v>1.3682867359306063</v>
      </c>
      <c r="AZ65" s="31">
        <f t="shared" si="7"/>
        <v>1.3456813291500929</v>
      </c>
      <c r="BA65" s="3">
        <v>16</v>
      </c>
      <c r="BB65" s="3">
        <v>53</v>
      </c>
      <c r="BC65" s="3">
        <v>7</v>
      </c>
      <c r="BD65" s="3">
        <v>47</v>
      </c>
      <c r="BE65" s="3">
        <v>9</v>
      </c>
      <c r="BF65" s="3">
        <v>60</v>
      </c>
      <c r="BG65" s="3">
        <v>21</v>
      </c>
      <c r="BH65" s="3">
        <v>70</v>
      </c>
      <c r="BI65" s="3">
        <v>26</v>
      </c>
      <c r="BJ65" s="3">
        <v>87</v>
      </c>
      <c r="BK65" s="3">
        <v>40</v>
      </c>
      <c r="BL65" s="3">
        <v>63</v>
      </c>
      <c r="BM65" s="3">
        <v>130</v>
      </c>
      <c r="BN65" s="3">
        <v>73</v>
      </c>
      <c r="BO65" s="21">
        <v>64</v>
      </c>
      <c r="BP65" s="3">
        <v>43</v>
      </c>
      <c r="BQ65" s="3">
        <v>83</v>
      </c>
      <c r="BR65" s="3" t="s">
        <v>185</v>
      </c>
      <c r="BS65" s="3">
        <v>0.5</v>
      </c>
      <c r="BT65" s="3">
        <v>30</v>
      </c>
      <c r="BU65" s="3">
        <v>75</v>
      </c>
      <c r="BV65" s="3">
        <v>0.5</v>
      </c>
      <c r="BW65" s="3">
        <v>31</v>
      </c>
      <c r="BX65" s="3">
        <v>78</v>
      </c>
      <c r="BY65" s="3">
        <v>1.0900000000000001</v>
      </c>
      <c r="BZ65" s="3" t="s">
        <v>227</v>
      </c>
      <c r="CA65" s="3" t="s">
        <v>227</v>
      </c>
      <c r="CB65" s="33">
        <v>54</v>
      </c>
      <c r="CC65" s="34">
        <v>0.30857142857142855</v>
      </c>
      <c r="CD65" s="3">
        <v>76</v>
      </c>
      <c r="CE65" s="3">
        <v>81</v>
      </c>
      <c r="CF65" s="3">
        <v>83</v>
      </c>
      <c r="CG65" s="3">
        <v>80</v>
      </c>
      <c r="CH65" s="1" t="s">
        <v>228</v>
      </c>
      <c r="CI65" s="3" t="s">
        <v>229</v>
      </c>
      <c r="CJ65" s="3" t="s">
        <v>230</v>
      </c>
      <c r="CK65" s="3" t="s">
        <v>230</v>
      </c>
      <c r="CL65" s="3" t="s">
        <v>231</v>
      </c>
      <c r="CM65" s="3" t="s">
        <v>232</v>
      </c>
      <c r="CN65" s="3" t="s">
        <v>229</v>
      </c>
      <c r="CO65" s="3" t="s">
        <v>230</v>
      </c>
      <c r="CP65" s="3" t="s">
        <v>230</v>
      </c>
      <c r="CQ65" s="3">
        <v>1</v>
      </c>
      <c r="CR65" s="3" t="s">
        <v>231</v>
      </c>
      <c r="CS65" t="s">
        <v>160</v>
      </c>
      <c r="CT65" t="s">
        <v>160</v>
      </c>
      <c r="CU65" s="3">
        <v>100</v>
      </c>
      <c r="CV65" s="3">
        <v>92</v>
      </c>
      <c r="CW65" s="3">
        <v>96</v>
      </c>
      <c r="DJ65" s="3"/>
    </row>
    <row r="66" spans="1:192" ht="60">
      <c r="A66" s="190">
        <v>20046</v>
      </c>
      <c r="B66" s="23" t="s">
        <v>166</v>
      </c>
      <c r="C66" s="1">
        <v>72.2</v>
      </c>
      <c r="D66" s="1">
        <v>5</v>
      </c>
      <c r="E66" s="1">
        <v>4</v>
      </c>
      <c r="F66" s="1">
        <v>9</v>
      </c>
      <c r="G66" s="1">
        <v>9</v>
      </c>
      <c r="H66" s="1">
        <v>9.6999999999999993</v>
      </c>
      <c r="I66" s="1">
        <v>8.4</v>
      </c>
      <c r="J66" s="1" t="s">
        <v>233</v>
      </c>
      <c r="K66" s="26">
        <v>6.6070000000000004E-2</v>
      </c>
      <c r="L66" s="26">
        <v>1.553E-2</v>
      </c>
      <c r="M66" s="26">
        <v>1.2619999999999999E-2</v>
      </c>
      <c r="N66" s="74">
        <v>4.3999999999999997E-2</v>
      </c>
      <c r="O66" s="74">
        <v>2.1999999999999999E-2</v>
      </c>
      <c r="P66" s="74">
        <v>1.2E-2</v>
      </c>
      <c r="Q66" s="27">
        <v>0.95399999999999996</v>
      </c>
      <c r="R66" s="27">
        <v>0</v>
      </c>
      <c r="S66" s="27">
        <v>0</v>
      </c>
      <c r="T66" s="18">
        <v>1.7000000000000001E-2</v>
      </c>
      <c r="U66" s="18">
        <v>2.9000000000000001E-2</v>
      </c>
      <c r="V66" s="18">
        <v>0</v>
      </c>
      <c r="W66" s="28">
        <v>94</v>
      </c>
      <c r="X66" s="18">
        <v>0.94285714285714284</v>
      </c>
      <c r="Y66" s="28">
        <v>165</v>
      </c>
      <c r="Z66" s="18">
        <v>0</v>
      </c>
      <c r="AA66" s="18">
        <v>0</v>
      </c>
      <c r="AB66" s="18">
        <v>1.7000000000000001E-2</v>
      </c>
      <c r="AC66" s="18">
        <v>2.9000000000000001E-2</v>
      </c>
      <c r="AD66" s="27">
        <f t="shared" si="9"/>
        <v>2.9000000000000001E-2</v>
      </c>
      <c r="AE66" s="18">
        <v>0</v>
      </c>
      <c r="AF66" s="1" t="s">
        <v>167</v>
      </c>
      <c r="AG66" s="1" t="s">
        <v>130</v>
      </c>
      <c r="AH66" s="1" t="s">
        <v>146</v>
      </c>
      <c r="AI66" s="1">
        <v>12</v>
      </c>
      <c r="AJ66" s="28">
        <v>65</v>
      </c>
      <c r="AK66" s="28">
        <v>27</v>
      </c>
      <c r="AL66" s="28" t="s">
        <v>132</v>
      </c>
      <c r="AM66" s="108">
        <v>169</v>
      </c>
      <c r="AN66" s="1">
        <v>97</v>
      </c>
      <c r="AO66" s="1">
        <v>31</v>
      </c>
      <c r="AP66" s="1">
        <v>52</v>
      </c>
      <c r="AQ66" s="1">
        <v>97</v>
      </c>
      <c r="AR66" s="1">
        <v>93</v>
      </c>
      <c r="AS66" s="1">
        <v>36</v>
      </c>
      <c r="AT66" s="1">
        <v>90</v>
      </c>
      <c r="AU66" s="1">
        <v>72</v>
      </c>
      <c r="AV66" s="1">
        <v>95</v>
      </c>
      <c r="AW66" s="1">
        <v>76</v>
      </c>
      <c r="AX66" s="1">
        <v>90</v>
      </c>
      <c r="AY66" s="30">
        <f t="shared" si="10"/>
        <v>2.9264051924960723</v>
      </c>
      <c r="AZ66" s="31">
        <f t="shared" si="7"/>
        <v>2.8471238021967586</v>
      </c>
      <c r="BA66" s="1">
        <v>28</v>
      </c>
      <c r="BB66" s="52">
        <v>93</v>
      </c>
      <c r="BC66" s="1">
        <v>14</v>
      </c>
      <c r="BD66" s="52">
        <v>93</v>
      </c>
      <c r="BE66" s="1">
        <v>14</v>
      </c>
      <c r="BF66" s="52">
        <v>93</v>
      </c>
      <c r="BG66" s="1">
        <v>27</v>
      </c>
      <c r="BH66" s="52">
        <v>90</v>
      </c>
      <c r="BI66" s="1">
        <v>30</v>
      </c>
      <c r="BJ66" s="3">
        <v>100</v>
      </c>
      <c r="BK66" s="108">
        <v>54</v>
      </c>
      <c r="BL66" s="1">
        <v>84</v>
      </c>
      <c r="BM66" s="1">
        <v>180</v>
      </c>
      <c r="BN66" s="3">
        <v>92</v>
      </c>
      <c r="BO66" s="21">
        <f t="shared" ref="BO66:BO106" si="11">(BM66/204)*100</f>
        <v>88.235294117647058</v>
      </c>
      <c r="BP66" s="1">
        <v>48</v>
      </c>
      <c r="BQ66" s="1">
        <v>92</v>
      </c>
      <c r="BR66" s="23" t="s">
        <v>133</v>
      </c>
      <c r="BS66" s="3">
        <v>3.4</v>
      </c>
      <c r="BT66" s="1">
        <v>34</v>
      </c>
      <c r="BU66" s="52">
        <v>85</v>
      </c>
      <c r="BV66" s="3">
        <v>1.66</v>
      </c>
      <c r="BW66" s="1">
        <v>38</v>
      </c>
      <c r="BX66" s="3">
        <v>95</v>
      </c>
      <c r="BY66" s="3">
        <v>3.5</v>
      </c>
      <c r="BZ66" s="23" t="s">
        <v>134</v>
      </c>
      <c r="CA66" s="23" t="s">
        <v>147</v>
      </c>
      <c r="CB66" s="33">
        <v>2</v>
      </c>
      <c r="CC66" s="34">
        <v>1.1428571428571429E-2</v>
      </c>
      <c r="CD66" s="3" t="s">
        <v>165</v>
      </c>
      <c r="CE66" s="3" t="s">
        <v>165</v>
      </c>
      <c r="CF66" s="3" t="s">
        <v>165</v>
      </c>
      <c r="CG66" s="1">
        <v>100</v>
      </c>
      <c r="CH66" s="1" t="s">
        <v>140</v>
      </c>
      <c r="CI66" s="3" t="s">
        <v>188</v>
      </c>
      <c r="CJ66" s="13"/>
      <c r="CK66" s="13"/>
      <c r="CL66" s="1" t="s">
        <v>138</v>
      </c>
      <c r="CM66" s="3" t="s">
        <v>137</v>
      </c>
      <c r="CN66" s="3" t="s">
        <v>188</v>
      </c>
      <c r="CO66" s="13"/>
      <c r="CP66" s="13"/>
      <c r="CQ66" s="13"/>
      <c r="CR66" s="1" t="s">
        <v>138</v>
      </c>
      <c r="CS66" s="1" t="s">
        <v>138</v>
      </c>
      <c r="CT66" s="1" t="s">
        <v>138</v>
      </c>
      <c r="CU66" s="1" t="s">
        <v>138</v>
      </c>
      <c r="CV66" s="1" t="s">
        <v>138</v>
      </c>
      <c r="CW66" s="1" t="s">
        <v>138</v>
      </c>
      <c r="DJ66" s="3"/>
    </row>
    <row r="67" spans="1:192" ht="60">
      <c r="A67" s="190">
        <v>20047</v>
      </c>
      <c r="B67" s="23" t="s">
        <v>127</v>
      </c>
      <c r="C67" s="1">
        <v>74.900000000000006</v>
      </c>
      <c r="D67" s="1">
        <v>8</v>
      </c>
      <c r="E67" s="1">
        <v>8</v>
      </c>
      <c r="F67" s="1">
        <v>16</v>
      </c>
      <c r="G67" s="1">
        <v>8.85</v>
      </c>
      <c r="H67" s="1">
        <v>5.7</v>
      </c>
      <c r="I67" s="1">
        <v>6.9</v>
      </c>
      <c r="J67" s="1" t="s">
        <v>145</v>
      </c>
      <c r="K67" s="26">
        <v>2.4969999999999999E-2</v>
      </c>
      <c r="L67" s="26">
        <v>1.7979999999999999E-2</v>
      </c>
      <c r="M67" s="26">
        <v>2.4809999999999999E-2</v>
      </c>
      <c r="N67" s="27">
        <v>2.4969999999999999E-2</v>
      </c>
      <c r="O67" s="27">
        <v>1.7979999999999999E-2</v>
      </c>
      <c r="P67" s="27">
        <v>2.4809999999999999E-2</v>
      </c>
      <c r="Q67" s="27">
        <v>0.72699999999999998</v>
      </c>
      <c r="R67" s="27">
        <v>3.6999999999999998E-2</v>
      </c>
      <c r="S67" s="27">
        <v>8.6999999999999994E-2</v>
      </c>
      <c r="T67" s="27">
        <v>6.0000000000000001E-3</v>
      </c>
      <c r="U67" s="27">
        <v>0.13700000000000001</v>
      </c>
      <c r="V67" s="27">
        <v>6.0000000000000001E-3</v>
      </c>
      <c r="W67" s="28">
        <v>67</v>
      </c>
      <c r="X67" s="18">
        <v>0.66857142857142859</v>
      </c>
      <c r="Y67" s="28">
        <v>117</v>
      </c>
      <c r="Z67" s="18">
        <v>3.4000000000000002E-2</v>
      </c>
      <c r="AA67" s="18">
        <v>0.08</v>
      </c>
      <c r="AB67" s="18">
        <v>6.0000000000000001E-3</v>
      </c>
      <c r="AC67" s="18">
        <v>0.126</v>
      </c>
      <c r="AD67" s="27">
        <f t="shared" si="9"/>
        <v>0.20600000000000002</v>
      </c>
      <c r="AE67" s="18">
        <v>6.0000000000000001E-3</v>
      </c>
      <c r="AF67" s="1" t="s">
        <v>129</v>
      </c>
      <c r="AG67" s="1" t="s">
        <v>130</v>
      </c>
      <c r="AH67" s="1" t="s">
        <v>146</v>
      </c>
      <c r="AI67" s="1">
        <v>12</v>
      </c>
      <c r="AJ67" s="1">
        <v>78</v>
      </c>
      <c r="AK67" s="1">
        <v>19</v>
      </c>
      <c r="AL67" s="1" t="s">
        <v>132</v>
      </c>
      <c r="AM67" s="1">
        <v>132</v>
      </c>
      <c r="AN67" s="1">
        <v>75</v>
      </c>
      <c r="AO67" s="1">
        <v>13</v>
      </c>
      <c r="AP67" s="3">
        <v>22</v>
      </c>
      <c r="AQ67" s="1">
        <v>38</v>
      </c>
      <c r="AR67" s="1">
        <v>95</v>
      </c>
      <c r="AS67" s="1">
        <v>37</v>
      </c>
      <c r="AT67" s="1">
        <v>93</v>
      </c>
      <c r="AU67" s="1">
        <v>78</v>
      </c>
      <c r="AV67" s="1">
        <v>98</v>
      </c>
      <c r="AW67" s="1">
        <v>67</v>
      </c>
      <c r="AX67" s="1">
        <v>84</v>
      </c>
      <c r="AY67" s="30">
        <f t="shared" si="10"/>
        <v>3.0482067938415716</v>
      </c>
      <c r="AZ67" s="31">
        <f t="shared" si="7"/>
        <v>2.9217133855969939</v>
      </c>
      <c r="BA67" s="1">
        <v>26</v>
      </c>
      <c r="BB67" s="1">
        <v>87</v>
      </c>
      <c r="BC67" s="1">
        <v>13</v>
      </c>
      <c r="BD67" s="1">
        <v>87</v>
      </c>
      <c r="BE67" s="1">
        <v>13</v>
      </c>
      <c r="BF67" s="1">
        <v>87</v>
      </c>
      <c r="BG67" s="1">
        <v>18</v>
      </c>
      <c r="BH67" s="1">
        <v>60</v>
      </c>
      <c r="BI67" s="1">
        <v>28</v>
      </c>
      <c r="BJ67" s="1">
        <v>93</v>
      </c>
      <c r="BK67" s="1">
        <v>55</v>
      </c>
      <c r="BL67" s="3">
        <v>86</v>
      </c>
      <c r="BM67" s="1">
        <v>185</v>
      </c>
      <c r="BN67" s="3">
        <v>98</v>
      </c>
      <c r="BO67" s="21">
        <f t="shared" si="11"/>
        <v>90.686274509803923</v>
      </c>
      <c r="BP67" s="1">
        <v>49</v>
      </c>
      <c r="BQ67" s="3">
        <v>94</v>
      </c>
      <c r="BR67" s="23" t="s">
        <v>133</v>
      </c>
      <c r="BS67" s="3">
        <v>2</v>
      </c>
      <c r="BT67" s="1">
        <v>37</v>
      </c>
      <c r="BU67" s="3">
        <v>93</v>
      </c>
      <c r="BV67" s="3">
        <v>2.35</v>
      </c>
      <c r="BW67" s="1">
        <v>36</v>
      </c>
      <c r="BX67" s="3">
        <v>90</v>
      </c>
      <c r="BY67" s="3">
        <v>2</v>
      </c>
      <c r="BZ67" s="23" t="s">
        <v>170</v>
      </c>
      <c r="CA67" s="23" t="s">
        <v>147</v>
      </c>
      <c r="CB67" s="33">
        <v>34</v>
      </c>
      <c r="CC67" s="34">
        <v>0.19428571428571428</v>
      </c>
      <c r="CD67" s="3" t="s">
        <v>165</v>
      </c>
      <c r="CE67" s="3" t="s">
        <v>165</v>
      </c>
      <c r="CF67" s="3" t="s">
        <v>165</v>
      </c>
      <c r="CG67" s="1">
        <v>100</v>
      </c>
      <c r="CH67" s="1" t="s">
        <v>153</v>
      </c>
      <c r="CI67" s="3" t="s">
        <v>188</v>
      </c>
      <c r="CJ67" s="13"/>
      <c r="CK67" s="13"/>
      <c r="CL67" s="1" t="s">
        <v>138</v>
      </c>
      <c r="CM67" s="3" t="s">
        <v>212</v>
      </c>
      <c r="CN67" s="3" t="s">
        <v>188</v>
      </c>
      <c r="CO67" s="13"/>
      <c r="CP67" s="13"/>
      <c r="CQ67" s="13"/>
      <c r="CR67" s="1" t="s">
        <v>138</v>
      </c>
      <c r="CS67" s="1" t="s">
        <v>138</v>
      </c>
      <c r="CT67" s="1" t="s">
        <v>138</v>
      </c>
      <c r="CU67" s="1" t="s">
        <v>138</v>
      </c>
      <c r="CV67" s="1" t="s">
        <v>138</v>
      </c>
      <c r="CW67" s="1" t="s">
        <v>138</v>
      </c>
      <c r="DJ67" s="3"/>
    </row>
    <row r="68" spans="1:192" ht="60">
      <c r="A68" s="190">
        <v>20048</v>
      </c>
      <c r="B68" s="23" t="s">
        <v>127</v>
      </c>
      <c r="C68" s="1">
        <v>33.299999999999997</v>
      </c>
      <c r="D68" s="1">
        <v>3</v>
      </c>
      <c r="E68" s="1">
        <v>1</v>
      </c>
      <c r="F68" s="1">
        <v>4</v>
      </c>
      <c r="G68" s="1">
        <v>7.25</v>
      </c>
      <c r="H68" s="1">
        <v>3.3</v>
      </c>
      <c r="I68" s="1">
        <v>2.1</v>
      </c>
      <c r="J68" s="1" t="s">
        <v>210</v>
      </c>
      <c r="K68" s="26">
        <v>1E-3</v>
      </c>
      <c r="L68" s="26">
        <v>2.8000000000000001E-2</v>
      </c>
      <c r="M68" s="26">
        <v>0.14474000000000001</v>
      </c>
      <c r="N68" s="27">
        <v>1E-3</v>
      </c>
      <c r="O68" s="27">
        <v>2.8000000000000001E-2</v>
      </c>
      <c r="P68" s="27">
        <v>0.14474000000000001</v>
      </c>
      <c r="Q68" s="27">
        <v>2.3E-2</v>
      </c>
      <c r="R68" s="27">
        <v>0.06</v>
      </c>
      <c r="S68" s="27">
        <v>0.248</v>
      </c>
      <c r="T68" s="27">
        <v>8.0000000000000002E-3</v>
      </c>
      <c r="U68" s="27">
        <v>7.4999999999999997E-2</v>
      </c>
      <c r="V68" s="27">
        <v>0.58599999999999997</v>
      </c>
      <c r="W68" s="28">
        <v>2</v>
      </c>
      <c r="X68" s="18">
        <v>1.7142857142857144E-2</v>
      </c>
      <c r="Y68" s="28">
        <v>3</v>
      </c>
      <c r="Z68" s="18">
        <v>4.5999999999999999E-2</v>
      </c>
      <c r="AA68" s="18">
        <v>0.189</v>
      </c>
      <c r="AB68" s="18">
        <v>6.0000000000000001E-3</v>
      </c>
      <c r="AC68" s="18">
        <v>5.7000000000000002E-2</v>
      </c>
      <c r="AD68" s="27">
        <f t="shared" si="9"/>
        <v>0.246</v>
      </c>
      <c r="AE68" s="18">
        <v>0.44600000000000001</v>
      </c>
      <c r="AF68" s="1" t="s">
        <v>167</v>
      </c>
      <c r="AG68" s="1" t="s">
        <v>130</v>
      </c>
      <c r="AH68" s="1" t="s">
        <v>146</v>
      </c>
      <c r="AI68" s="1">
        <v>12</v>
      </c>
      <c r="AJ68" s="1">
        <v>55</v>
      </c>
      <c r="AK68" s="1">
        <v>19</v>
      </c>
      <c r="AL68" s="1" t="s">
        <v>132</v>
      </c>
      <c r="AM68" s="1">
        <v>142</v>
      </c>
      <c r="AN68" s="3">
        <v>81</v>
      </c>
      <c r="AO68" s="1">
        <v>6</v>
      </c>
      <c r="AP68" s="3">
        <v>10</v>
      </c>
      <c r="AQ68" s="1">
        <v>25</v>
      </c>
      <c r="AR68" s="1">
        <v>63</v>
      </c>
      <c r="AS68" s="1">
        <v>19</v>
      </c>
      <c r="AT68" s="1">
        <v>48</v>
      </c>
      <c r="AU68" s="1">
        <v>62</v>
      </c>
      <c r="AV68" s="1">
        <v>78</v>
      </c>
      <c r="AW68" s="1">
        <v>54</v>
      </c>
      <c r="AX68" s="1">
        <v>68</v>
      </c>
      <c r="AY68" s="30">
        <f t="shared" si="10"/>
        <v>1.2398920133031934</v>
      </c>
      <c r="AZ68" s="31">
        <f t="shared" si="7"/>
        <v>1.2220643032574467</v>
      </c>
      <c r="BA68" s="1">
        <v>12</v>
      </c>
      <c r="BB68" s="1">
        <v>40</v>
      </c>
      <c r="BC68" s="1">
        <v>7</v>
      </c>
      <c r="BD68" s="1">
        <v>47</v>
      </c>
      <c r="BE68" s="1">
        <v>5</v>
      </c>
      <c r="BF68" s="1">
        <v>33</v>
      </c>
      <c r="BG68" s="1">
        <v>16</v>
      </c>
      <c r="BH68" s="1">
        <v>53</v>
      </c>
      <c r="BI68" s="1">
        <v>20</v>
      </c>
      <c r="BJ68" s="1">
        <v>67</v>
      </c>
      <c r="BK68" s="1">
        <v>35</v>
      </c>
      <c r="BL68" s="3">
        <v>55</v>
      </c>
      <c r="BM68" s="1">
        <v>96</v>
      </c>
      <c r="BN68" s="3">
        <v>40</v>
      </c>
      <c r="BO68" s="21">
        <f t="shared" si="11"/>
        <v>47.058823529411761</v>
      </c>
      <c r="BP68" s="1">
        <v>41</v>
      </c>
      <c r="BQ68" s="3">
        <v>79</v>
      </c>
      <c r="BR68" s="23" t="s">
        <v>185</v>
      </c>
      <c r="BS68" s="3">
        <v>1</v>
      </c>
      <c r="BT68" s="1">
        <v>23</v>
      </c>
      <c r="BU68" s="3">
        <v>58</v>
      </c>
      <c r="BV68" s="3">
        <v>0.5</v>
      </c>
      <c r="BW68" s="1">
        <v>27</v>
      </c>
      <c r="BX68" s="3">
        <v>68</v>
      </c>
      <c r="BY68" s="3">
        <v>0.5</v>
      </c>
      <c r="BZ68" s="23" t="s">
        <v>211</v>
      </c>
      <c r="CA68" s="23" t="s">
        <v>147</v>
      </c>
      <c r="CB68" s="33">
        <v>16</v>
      </c>
      <c r="CC68" s="34">
        <v>9.1428571428571428E-2</v>
      </c>
      <c r="CD68" s="3">
        <v>52</v>
      </c>
      <c r="CE68" s="3">
        <v>66</v>
      </c>
      <c r="CF68" s="3">
        <v>68</v>
      </c>
      <c r="CG68" s="1">
        <v>100</v>
      </c>
      <c r="CH68" s="1" t="s">
        <v>140</v>
      </c>
      <c r="CI68" s="3" t="s">
        <v>188</v>
      </c>
      <c r="CJ68" s="13"/>
      <c r="CK68" s="13"/>
      <c r="CL68" s="1" t="s">
        <v>234</v>
      </c>
      <c r="CM68" s="3" t="s">
        <v>216</v>
      </c>
      <c r="CN68" s="3" t="s">
        <v>188</v>
      </c>
      <c r="CO68" s="13"/>
      <c r="CP68" s="13"/>
      <c r="CQ68" s="13"/>
      <c r="CR68" s="1" t="s">
        <v>234</v>
      </c>
      <c r="CS68" s="1" t="s">
        <v>138</v>
      </c>
      <c r="CT68" s="1" t="s">
        <v>138</v>
      </c>
      <c r="CU68" s="1" t="s">
        <v>138</v>
      </c>
      <c r="CV68" s="1" t="s">
        <v>138</v>
      </c>
      <c r="CW68" s="1" t="s">
        <v>138</v>
      </c>
      <c r="DJ68" s="3"/>
    </row>
    <row r="69" spans="1:192" ht="60">
      <c r="A69" s="190">
        <v>20049</v>
      </c>
      <c r="B69" s="23" t="s">
        <v>166</v>
      </c>
      <c r="C69" s="1">
        <v>83.1</v>
      </c>
      <c r="D69" s="1">
        <v>9</v>
      </c>
      <c r="E69" s="1">
        <v>9</v>
      </c>
      <c r="F69" s="1">
        <v>18</v>
      </c>
      <c r="G69" s="1">
        <v>9.0500000000000007</v>
      </c>
      <c r="H69" s="1">
        <v>6.7</v>
      </c>
      <c r="I69" s="15">
        <v>7.8</v>
      </c>
      <c r="J69" s="1" t="s">
        <v>145</v>
      </c>
      <c r="K69" s="26">
        <v>2.5999999999999999E-2</v>
      </c>
      <c r="L69" s="26">
        <v>1.7000000000000001E-2</v>
      </c>
      <c r="M69" s="26">
        <v>3.1230000000000001E-2</v>
      </c>
      <c r="N69" s="27">
        <v>2.5999999999999999E-2</v>
      </c>
      <c r="O69" s="27">
        <v>1.7000000000000001E-2</v>
      </c>
      <c r="P69" s="27">
        <v>3.1230000000000001E-2</v>
      </c>
      <c r="Q69" s="27">
        <v>0.68899999999999995</v>
      </c>
      <c r="R69" s="27">
        <v>0</v>
      </c>
      <c r="S69" s="27">
        <v>0.104</v>
      </c>
      <c r="T69" s="27">
        <v>1.7999999999999999E-2</v>
      </c>
      <c r="U69" s="27">
        <v>0.183</v>
      </c>
      <c r="V69" s="27">
        <v>6.0000000000000001E-3</v>
      </c>
      <c r="W69" s="28">
        <v>65</v>
      </c>
      <c r="X69" s="18">
        <v>0.64571428571428569</v>
      </c>
      <c r="Y69" s="28">
        <v>113</v>
      </c>
      <c r="Z69" s="18">
        <v>0</v>
      </c>
      <c r="AA69" s="18">
        <v>9.7000000000000003E-2</v>
      </c>
      <c r="AB69" s="18">
        <v>1.7000000000000001E-2</v>
      </c>
      <c r="AC69" s="18">
        <v>0.17100000000000001</v>
      </c>
      <c r="AD69" s="27">
        <f t="shared" si="9"/>
        <v>0.26800000000000002</v>
      </c>
      <c r="AE69" s="18">
        <v>6.0000000000000001E-3</v>
      </c>
      <c r="AF69" s="1" t="s">
        <v>129</v>
      </c>
      <c r="AG69" s="1" t="s">
        <v>130</v>
      </c>
      <c r="AH69" s="1" t="s">
        <v>146</v>
      </c>
      <c r="AI69" s="1">
        <v>14</v>
      </c>
      <c r="AJ69" s="1">
        <f>2006-1933</f>
        <v>73</v>
      </c>
      <c r="AK69" s="1">
        <v>15</v>
      </c>
      <c r="AL69" s="1" t="s">
        <v>132</v>
      </c>
      <c r="AM69" s="1">
        <v>140</v>
      </c>
      <c r="AN69" s="1">
        <v>80</v>
      </c>
      <c r="AO69" s="1">
        <v>6</v>
      </c>
      <c r="AP69" s="3">
        <v>10</v>
      </c>
      <c r="AQ69" s="1">
        <v>37</v>
      </c>
      <c r="AR69" s="1">
        <v>93</v>
      </c>
      <c r="AS69" s="1">
        <v>34</v>
      </c>
      <c r="AT69" s="1">
        <v>85</v>
      </c>
      <c r="AU69" s="1">
        <v>76</v>
      </c>
      <c r="AV69" s="1">
        <v>95</v>
      </c>
      <c r="AW69" s="1">
        <v>68</v>
      </c>
      <c r="AX69" s="1">
        <v>85</v>
      </c>
      <c r="AY69" s="30">
        <f t="shared" si="10"/>
        <v>2.6812870164452614</v>
      </c>
      <c r="AZ69" s="31">
        <f t="shared" ref="AZ69:AZ100" si="12">NORMSINV((AV69*(80/100)+0.5)/81)-NORMSINV(1-(AX69*(80/100)+0.5)/81)</f>
        <v>2.6112945330366397</v>
      </c>
      <c r="BA69" s="1">
        <v>30</v>
      </c>
      <c r="BB69" s="1">
        <v>100</v>
      </c>
      <c r="BC69" s="1">
        <v>15</v>
      </c>
      <c r="BD69" s="1">
        <v>100</v>
      </c>
      <c r="BE69" s="1">
        <v>15</v>
      </c>
      <c r="BF69" s="1">
        <v>100</v>
      </c>
      <c r="BG69" s="1">
        <v>20</v>
      </c>
      <c r="BH69" s="1">
        <v>67</v>
      </c>
      <c r="BI69" s="1">
        <v>30</v>
      </c>
      <c r="BJ69" s="1">
        <v>100</v>
      </c>
      <c r="BK69" s="1">
        <v>54</v>
      </c>
      <c r="BL69" s="3">
        <v>84</v>
      </c>
      <c r="BM69" s="1">
        <v>191</v>
      </c>
      <c r="BN69" s="3">
        <v>105</v>
      </c>
      <c r="BO69" s="21">
        <f t="shared" si="11"/>
        <v>93.627450980392155</v>
      </c>
      <c r="BP69" s="1">
        <v>51</v>
      </c>
      <c r="BQ69" s="3">
        <v>98</v>
      </c>
      <c r="BR69" s="23" t="s">
        <v>133</v>
      </c>
      <c r="BS69" s="3">
        <v>2.2000000000000002</v>
      </c>
      <c r="BT69" s="1">
        <v>36</v>
      </c>
      <c r="BU69" s="3">
        <v>90</v>
      </c>
      <c r="BV69" s="3">
        <v>1.75</v>
      </c>
      <c r="BW69" s="1">
        <v>39</v>
      </c>
      <c r="BX69" s="3">
        <v>98</v>
      </c>
      <c r="BY69" s="3">
        <v>2</v>
      </c>
      <c r="BZ69" s="23" t="s">
        <v>170</v>
      </c>
      <c r="CA69" s="23" t="s">
        <v>147</v>
      </c>
      <c r="CB69" s="33">
        <v>12</v>
      </c>
      <c r="CC69" s="34">
        <v>6.8571428571428575E-2</v>
      </c>
      <c r="CD69" s="3">
        <v>90</v>
      </c>
      <c r="CE69" s="3">
        <v>93</v>
      </c>
      <c r="CF69" s="3">
        <v>91</v>
      </c>
      <c r="CG69" s="1">
        <v>80</v>
      </c>
      <c r="CH69" s="1" t="s">
        <v>153</v>
      </c>
      <c r="CI69" s="3" t="s">
        <v>136</v>
      </c>
      <c r="CJ69" s="3" t="s">
        <v>136</v>
      </c>
      <c r="CK69" s="3" t="s">
        <v>136</v>
      </c>
      <c r="CL69" s="1"/>
      <c r="CM69" s="3" t="s">
        <v>205</v>
      </c>
      <c r="CN69" s="3" t="s">
        <v>136</v>
      </c>
      <c r="CO69" s="3" t="s">
        <v>136</v>
      </c>
      <c r="CP69" s="3" t="s">
        <v>136</v>
      </c>
      <c r="CQ69" s="3">
        <v>1</v>
      </c>
      <c r="CR69" s="1"/>
      <c r="CS69" s="1" t="s">
        <v>138</v>
      </c>
      <c r="CT69" s="1" t="s">
        <v>138</v>
      </c>
      <c r="CU69" s="1" t="s">
        <v>138</v>
      </c>
      <c r="CV69" s="1" t="s">
        <v>138</v>
      </c>
      <c r="CW69" s="1" t="s">
        <v>138</v>
      </c>
    </row>
    <row r="70" spans="1:192" ht="60">
      <c r="A70" s="190">
        <v>20050</v>
      </c>
      <c r="B70" s="23" t="s">
        <v>166</v>
      </c>
      <c r="C70" s="1">
        <v>97.6</v>
      </c>
      <c r="D70" s="1">
        <v>10</v>
      </c>
      <c r="E70" s="1">
        <v>10</v>
      </c>
      <c r="F70" s="1">
        <v>20</v>
      </c>
      <c r="G70" s="1">
        <v>10</v>
      </c>
      <c r="H70" s="1">
        <v>9.4</v>
      </c>
      <c r="I70" s="15">
        <v>9.4</v>
      </c>
      <c r="J70" s="1" t="s">
        <v>128</v>
      </c>
      <c r="K70" s="26">
        <v>6.1530000000000001E-2</v>
      </c>
      <c r="L70" s="26">
        <v>3.9949999999999999E-2</v>
      </c>
      <c r="M70" s="26">
        <v>1.8600000000000001E-3</v>
      </c>
      <c r="N70" s="74">
        <v>3.6999999999999998E-2</v>
      </c>
      <c r="O70" s="74">
        <v>0.05</v>
      </c>
      <c r="P70" s="74">
        <v>2E-3</v>
      </c>
      <c r="Q70" s="27">
        <v>0.97099999999999997</v>
      </c>
      <c r="R70" s="27">
        <v>2.3E-2</v>
      </c>
      <c r="S70" s="27">
        <v>0</v>
      </c>
      <c r="T70" s="27">
        <v>6.0000000000000001E-3</v>
      </c>
      <c r="U70" s="27">
        <v>0</v>
      </c>
      <c r="V70" s="27">
        <v>0</v>
      </c>
      <c r="W70" s="28">
        <v>96</v>
      </c>
      <c r="X70" s="18">
        <v>0.96</v>
      </c>
      <c r="Y70" s="28">
        <v>168</v>
      </c>
      <c r="Z70" s="18">
        <v>2.3E-2</v>
      </c>
      <c r="AA70" s="18">
        <v>0</v>
      </c>
      <c r="AB70" s="18">
        <v>6.0000000000000001E-3</v>
      </c>
      <c r="AC70" s="18">
        <v>0</v>
      </c>
      <c r="AD70" s="27">
        <f t="shared" si="9"/>
        <v>0</v>
      </c>
      <c r="AE70" s="18">
        <v>0</v>
      </c>
      <c r="AF70" s="1" t="s">
        <v>167</v>
      </c>
      <c r="AG70" s="1" t="s">
        <v>130</v>
      </c>
      <c r="AH70" s="1" t="s">
        <v>146</v>
      </c>
      <c r="AI70" s="1">
        <v>12</v>
      </c>
      <c r="AJ70" s="1">
        <v>31</v>
      </c>
      <c r="AK70" s="1">
        <v>6</v>
      </c>
      <c r="AL70" s="1" t="s">
        <v>132</v>
      </c>
      <c r="AM70" s="108">
        <v>170</v>
      </c>
      <c r="AN70" s="1">
        <v>97</v>
      </c>
      <c r="AO70" s="1">
        <v>54</v>
      </c>
      <c r="AP70" s="3">
        <v>90</v>
      </c>
      <c r="AQ70" s="1">
        <v>39</v>
      </c>
      <c r="AR70" s="1">
        <v>98</v>
      </c>
      <c r="AS70" s="1">
        <v>40</v>
      </c>
      <c r="AT70" s="1">
        <v>100</v>
      </c>
      <c r="AU70" s="1">
        <v>80</v>
      </c>
      <c r="AV70" s="1">
        <v>100</v>
      </c>
      <c r="AW70" s="1">
        <v>74</v>
      </c>
      <c r="AX70" s="1">
        <v>93</v>
      </c>
      <c r="AY70" s="30" t="e">
        <f t="shared" si="10"/>
        <v>#NUM!</v>
      </c>
      <c r="AZ70" s="31">
        <f t="shared" si="12"/>
        <v>3.9394609957943727</v>
      </c>
      <c r="BA70" s="1">
        <v>29</v>
      </c>
      <c r="BB70" s="1">
        <v>97</v>
      </c>
      <c r="BC70" s="1">
        <v>15</v>
      </c>
      <c r="BD70" s="1">
        <v>100</v>
      </c>
      <c r="BE70" s="1">
        <v>14</v>
      </c>
      <c r="BF70" s="1">
        <v>93</v>
      </c>
      <c r="BG70" s="1">
        <v>29</v>
      </c>
      <c r="BH70" s="1">
        <v>97</v>
      </c>
      <c r="BI70" s="1">
        <v>30</v>
      </c>
      <c r="BJ70" s="1">
        <v>100</v>
      </c>
      <c r="BK70" s="108">
        <v>55</v>
      </c>
      <c r="BL70" s="3">
        <v>86</v>
      </c>
      <c r="BM70" s="1">
        <v>192</v>
      </c>
      <c r="BN70" s="3">
        <v>113</v>
      </c>
      <c r="BO70" s="21">
        <f t="shared" si="11"/>
        <v>94.117647058823522</v>
      </c>
      <c r="BP70" s="1">
        <v>48</v>
      </c>
      <c r="BQ70" s="3">
        <v>92</v>
      </c>
      <c r="BR70" s="23" t="s">
        <v>133</v>
      </c>
      <c r="BS70" s="3">
        <v>4.5999999999999996</v>
      </c>
      <c r="BT70" s="1">
        <v>37</v>
      </c>
      <c r="BU70" s="3">
        <v>93</v>
      </c>
      <c r="BV70" s="3">
        <v>3.4</v>
      </c>
      <c r="BW70" s="1">
        <v>39</v>
      </c>
      <c r="BX70" s="3">
        <v>98</v>
      </c>
      <c r="BY70" s="137">
        <v>4</v>
      </c>
      <c r="BZ70" s="23" t="s">
        <v>134</v>
      </c>
      <c r="CA70" s="23" t="s">
        <v>147</v>
      </c>
      <c r="CB70" s="33">
        <v>1</v>
      </c>
      <c r="CC70" s="34">
        <v>5.7142857142857143E-3</v>
      </c>
      <c r="CD70" s="3">
        <v>99</v>
      </c>
      <c r="CE70" s="3">
        <v>99</v>
      </c>
      <c r="CF70" s="3">
        <v>99</v>
      </c>
      <c r="CG70" s="1">
        <v>100</v>
      </c>
      <c r="CH70" s="1" t="s">
        <v>153</v>
      </c>
      <c r="CI70" s="3" t="s">
        <v>136</v>
      </c>
      <c r="CJ70" s="3" t="s">
        <v>136</v>
      </c>
      <c r="CK70" s="3" t="s">
        <v>136</v>
      </c>
      <c r="CM70" s="3" t="s">
        <v>137</v>
      </c>
      <c r="CN70" s="3" t="s">
        <v>188</v>
      </c>
      <c r="CO70" s="13"/>
      <c r="CP70" s="13"/>
      <c r="CQ70" s="13"/>
      <c r="CR70" s="1" t="s">
        <v>138</v>
      </c>
      <c r="CS70" s="1" t="s">
        <v>138</v>
      </c>
      <c r="CT70" s="1" t="s">
        <v>138</v>
      </c>
      <c r="CU70" s="1" t="s">
        <v>138</v>
      </c>
      <c r="CV70" s="1" t="s">
        <v>138</v>
      </c>
      <c r="CW70" s="1" t="s">
        <v>138</v>
      </c>
    </row>
    <row r="71" spans="1:192" ht="60">
      <c r="A71" s="190">
        <v>20051</v>
      </c>
      <c r="B71" s="23" t="s">
        <v>166</v>
      </c>
      <c r="C71" s="1">
        <v>78</v>
      </c>
      <c r="D71" s="1">
        <v>8</v>
      </c>
      <c r="E71" s="1">
        <v>5</v>
      </c>
      <c r="F71" s="1">
        <v>13</v>
      </c>
      <c r="G71" s="1">
        <v>9.1999999999999993</v>
      </c>
      <c r="H71" s="1">
        <v>8.6</v>
      </c>
      <c r="I71" s="1">
        <v>8.1999999999999993</v>
      </c>
      <c r="J71" s="1" t="s">
        <v>145</v>
      </c>
      <c r="K71" s="26">
        <v>1.8429999999999998E-2</v>
      </c>
      <c r="L71" s="26">
        <v>1.486E-2</v>
      </c>
      <c r="M71" s="26">
        <v>4.9829999999999999E-2</v>
      </c>
      <c r="N71" s="27">
        <v>1.8429999999999998E-2</v>
      </c>
      <c r="O71" s="27">
        <v>1.486E-2</v>
      </c>
      <c r="P71" s="27">
        <v>4.9829999999999999E-2</v>
      </c>
      <c r="Q71" s="27">
        <v>0.48799999999999999</v>
      </c>
      <c r="R71" s="27">
        <v>0</v>
      </c>
      <c r="S71" s="27">
        <v>0.18</v>
      </c>
      <c r="T71" s="27">
        <v>2.9000000000000001E-2</v>
      </c>
      <c r="U71" s="27">
        <v>0.29099999999999998</v>
      </c>
      <c r="V71" s="27">
        <v>1.2E-2</v>
      </c>
      <c r="W71" s="28">
        <v>48</v>
      </c>
      <c r="X71" s="18">
        <v>0.48</v>
      </c>
      <c r="Y71" s="28">
        <v>84</v>
      </c>
      <c r="Z71" s="18">
        <v>0</v>
      </c>
      <c r="AA71" s="18">
        <v>0.17699999999999999</v>
      </c>
      <c r="AB71" s="18">
        <v>2.9000000000000001E-2</v>
      </c>
      <c r="AC71" s="18">
        <v>0.28599999999999998</v>
      </c>
      <c r="AD71" s="27">
        <f t="shared" si="9"/>
        <v>0.46299999999999997</v>
      </c>
      <c r="AE71" s="18">
        <v>1.0999999999999999E-2</v>
      </c>
      <c r="AF71" s="1" t="s">
        <v>129</v>
      </c>
      <c r="AG71" s="1" t="s">
        <v>130</v>
      </c>
      <c r="AH71" s="1" t="s">
        <v>131</v>
      </c>
      <c r="AI71" s="1">
        <v>12</v>
      </c>
      <c r="AJ71" s="1">
        <v>59</v>
      </c>
      <c r="AK71" s="1">
        <v>6</v>
      </c>
      <c r="AL71" s="1" t="s">
        <v>132</v>
      </c>
      <c r="AM71" s="1">
        <v>131</v>
      </c>
      <c r="AN71" s="1">
        <v>75</v>
      </c>
      <c r="AO71" s="1">
        <v>14</v>
      </c>
      <c r="AP71" s="3">
        <v>23</v>
      </c>
      <c r="AQ71" s="1">
        <v>39</v>
      </c>
      <c r="AR71" s="1">
        <v>98</v>
      </c>
      <c r="AS71" s="1">
        <v>36</v>
      </c>
      <c r="AT71" s="1">
        <v>90</v>
      </c>
      <c r="AU71" s="1">
        <v>73</v>
      </c>
      <c r="AV71" s="1">
        <v>91</v>
      </c>
      <c r="AW71" s="1">
        <v>67</v>
      </c>
      <c r="AX71" s="1">
        <v>84</v>
      </c>
      <c r="AY71" s="30">
        <f t="shared" si="10"/>
        <v>2.335212916899966</v>
      </c>
      <c r="AZ71" s="31">
        <f t="shared" si="12"/>
        <v>2.2875656915229841</v>
      </c>
      <c r="BA71" s="1">
        <v>28</v>
      </c>
      <c r="BB71" s="1">
        <v>93</v>
      </c>
      <c r="BC71" s="1">
        <v>15</v>
      </c>
      <c r="BD71" s="1">
        <v>100</v>
      </c>
      <c r="BE71" s="1">
        <v>13</v>
      </c>
      <c r="BF71" s="1">
        <v>87</v>
      </c>
      <c r="BG71" s="1">
        <v>26</v>
      </c>
      <c r="BH71" s="1">
        <v>87</v>
      </c>
      <c r="BI71" s="1">
        <v>30</v>
      </c>
      <c r="BJ71" s="1">
        <v>100</v>
      </c>
      <c r="BK71" s="1">
        <v>52</v>
      </c>
      <c r="BL71" s="1">
        <v>81</v>
      </c>
      <c r="BM71" s="1">
        <v>176</v>
      </c>
      <c r="BN71" s="1">
        <v>88</v>
      </c>
      <c r="BO71" s="21">
        <f t="shared" si="11"/>
        <v>86.274509803921575</v>
      </c>
      <c r="BP71" s="1">
        <v>49</v>
      </c>
      <c r="BQ71" s="3">
        <v>94</v>
      </c>
      <c r="BR71" s="23" t="s">
        <v>185</v>
      </c>
      <c r="BS71" s="3">
        <v>2.8</v>
      </c>
      <c r="BT71" s="1">
        <v>35</v>
      </c>
      <c r="BU71" s="1">
        <v>88</v>
      </c>
      <c r="BV71" s="137">
        <v>3</v>
      </c>
      <c r="BW71" s="1">
        <v>36</v>
      </c>
      <c r="BX71" s="1">
        <v>90</v>
      </c>
      <c r="BY71" s="3">
        <v>3.44</v>
      </c>
      <c r="BZ71" s="23" t="s">
        <v>194</v>
      </c>
      <c r="CA71" s="23" t="s">
        <v>147</v>
      </c>
      <c r="CB71" s="33">
        <v>25</v>
      </c>
      <c r="CC71" s="34">
        <v>0.14285714285714285</v>
      </c>
      <c r="CD71" s="3" t="s">
        <v>165</v>
      </c>
      <c r="CE71" s="3" t="s">
        <v>165</v>
      </c>
      <c r="CF71" s="3" t="s">
        <v>165</v>
      </c>
      <c r="CG71" s="1">
        <v>100</v>
      </c>
      <c r="CH71" s="1" t="s">
        <v>140</v>
      </c>
      <c r="CI71" s="3" t="s">
        <v>188</v>
      </c>
      <c r="CJ71" s="13"/>
      <c r="CK71" s="13"/>
      <c r="CL71" s="1" t="s">
        <v>138</v>
      </c>
      <c r="CM71" s="3" t="s">
        <v>137</v>
      </c>
      <c r="CN71" s="3" t="s">
        <v>188</v>
      </c>
      <c r="CO71" s="13"/>
      <c r="CP71" s="13"/>
      <c r="CQ71" s="13"/>
      <c r="CR71" s="1" t="s">
        <v>138</v>
      </c>
      <c r="CS71" s="1" t="s">
        <v>138</v>
      </c>
      <c r="CT71" s="1" t="s">
        <v>138</v>
      </c>
      <c r="CU71" s="1" t="s">
        <v>138</v>
      </c>
      <c r="CV71" s="1" t="s">
        <v>138</v>
      </c>
      <c r="CW71" s="1" t="s">
        <v>138</v>
      </c>
      <c r="DJ71" s="3"/>
    </row>
    <row r="72" spans="1:192" ht="60">
      <c r="A72" s="190">
        <v>20052</v>
      </c>
      <c r="B72" s="23" t="s">
        <v>166</v>
      </c>
      <c r="C72" s="1">
        <v>67.8</v>
      </c>
      <c r="D72" s="1">
        <v>9</v>
      </c>
      <c r="E72" s="1">
        <v>4</v>
      </c>
      <c r="F72" s="1">
        <v>13</v>
      </c>
      <c r="G72" s="1">
        <v>10</v>
      </c>
      <c r="H72" s="1">
        <v>4.4000000000000004</v>
      </c>
      <c r="I72" s="15">
        <v>6.5</v>
      </c>
      <c r="J72" s="1" t="s">
        <v>210</v>
      </c>
      <c r="K72" s="26">
        <v>2.9159999999999998E-2</v>
      </c>
      <c r="L72" s="26">
        <v>1.6299999999999999E-2</v>
      </c>
      <c r="M72" s="26">
        <v>1.3780000000000001E-2</v>
      </c>
      <c r="N72" s="27">
        <v>2.9159999999999998E-2</v>
      </c>
      <c r="O72" s="27">
        <v>1.6299999999999999E-2</v>
      </c>
      <c r="P72" s="27">
        <v>1.3780000000000001E-2</v>
      </c>
      <c r="Q72" s="27">
        <v>0.69799999999999995</v>
      </c>
      <c r="R72" s="27">
        <v>4.7E-2</v>
      </c>
      <c r="S72" s="27">
        <v>0.03</v>
      </c>
      <c r="T72" s="27">
        <v>6.0000000000000001E-3</v>
      </c>
      <c r="U72" s="27">
        <v>0.21299999999999999</v>
      </c>
      <c r="V72" s="27">
        <v>6.0000000000000001E-3</v>
      </c>
      <c r="W72" s="28">
        <v>67</v>
      </c>
      <c r="X72" s="18">
        <v>0.67428571428571427</v>
      </c>
      <c r="Y72" s="28">
        <v>118</v>
      </c>
      <c r="Z72" s="18">
        <v>4.5999999999999999E-2</v>
      </c>
      <c r="AA72" s="18">
        <v>2.9000000000000001E-2</v>
      </c>
      <c r="AB72" s="18">
        <v>6.0000000000000001E-3</v>
      </c>
      <c r="AC72" s="18">
        <v>0.20599999999999999</v>
      </c>
      <c r="AD72" s="27">
        <f t="shared" si="9"/>
        <v>0.23499999999999999</v>
      </c>
      <c r="AE72" s="18">
        <v>6.0000000000000001E-3</v>
      </c>
      <c r="AF72" s="1" t="s">
        <v>167</v>
      </c>
      <c r="AG72" s="1" t="s">
        <v>130</v>
      </c>
      <c r="AH72" s="1" t="s">
        <v>146</v>
      </c>
      <c r="AI72" s="1">
        <v>14</v>
      </c>
      <c r="AJ72" s="1">
        <v>49</v>
      </c>
      <c r="AK72" s="1">
        <f>12+9</f>
        <v>21</v>
      </c>
      <c r="AL72" s="1" t="s">
        <v>132</v>
      </c>
      <c r="AM72" s="1">
        <v>139</v>
      </c>
      <c r="AN72" s="3">
        <v>79</v>
      </c>
      <c r="AO72" s="1" t="s">
        <v>235</v>
      </c>
      <c r="AP72" s="3" t="s">
        <v>236</v>
      </c>
      <c r="AQ72" s="1">
        <v>40</v>
      </c>
      <c r="AR72" s="1">
        <v>100</v>
      </c>
      <c r="AS72" s="1">
        <v>35</v>
      </c>
      <c r="AT72" s="1">
        <v>88</v>
      </c>
      <c r="AU72" s="1">
        <v>78</v>
      </c>
      <c r="AV72" s="1">
        <v>98</v>
      </c>
      <c r="AW72" s="1">
        <v>67</v>
      </c>
      <c r="AX72" s="1">
        <v>84</v>
      </c>
      <c r="AY72" s="30">
        <f t="shared" si="10"/>
        <v>3.0482067938415716</v>
      </c>
      <c r="AZ72" s="31">
        <f t="shared" si="12"/>
        <v>2.9217133855969939</v>
      </c>
      <c r="BA72" s="1">
        <v>26</v>
      </c>
      <c r="BB72" s="1">
        <v>87</v>
      </c>
      <c r="BC72" s="1">
        <v>13</v>
      </c>
      <c r="BD72" s="1">
        <v>87</v>
      </c>
      <c r="BE72" s="1">
        <v>13</v>
      </c>
      <c r="BF72" s="1">
        <v>87</v>
      </c>
      <c r="BG72" s="1">
        <v>30</v>
      </c>
      <c r="BH72" s="1">
        <v>100</v>
      </c>
      <c r="BI72" s="1">
        <v>29</v>
      </c>
      <c r="BJ72" s="1">
        <v>97</v>
      </c>
      <c r="BK72" s="1">
        <v>52</v>
      </c>
      <c r="BL72" s="3">
        <v>81</v>
      </c>
      <c r="BM72" s="1">
        <v>181</v>
      </c>
      <c r="BN72" s="3">
        <v>96</v>
      </c>
      <c r="BO72" s="21">
        <f t="shared" si="11"/>
        <v>88.725490196078425</v>
      </c>
      <c r="BP72" s="1">
        <v>51</v>
      </c>
      <c r="BQ72" s="3">
        <v>98</v>
      </c>
      <c r="BR72" s="23" t="s">
        <v>185</v>
      </c>
      <c r="BS72" s="3">
        <v>3.4</v>
      </c>
      <c r="BT72" s="1">
        <v>39</v>
      </c>
      <c r="BU72" s="3">
        <v>98</v>
      </c>
      <c r="BV72" s="3">
        <v>3</v>
      </c>
      <c r="BW72" s="1">
        <v>38</v>
      </c>
      <c r="BX72" s="3">
        <v>95</v>
      </c>
      <c r="BY72" s="3">
        <v>4.3499999999999996</v>
      </c>
      <c r="BZ72" s="23" t="s">
        <v>221</v>
      </c>
      <c r="CA72" s="23" t="s">
        <v>221</v>
      </c>
      <c r="CB72" s="33">
        <v>35</v>
      </c>
      <c r="CC72" s="34">
        <v>0.2</v>
      </c>
      <c r="CD72" s="125">
        <v>100</v>
      </c>
      <c r="CE72" s="125">
        <v>100</v>
      </c>
      <c r="CF72" s="125">
        <v>100</v>
      </c>
      <c r="CG72" s="1">
        <v>100</v>
      </c>
      <c r="CH72" s="1" t="s">
        <v>140</v>
      </c>
      <c r="CI72" s="3" t="s">
        <v>136</v>
      </c>
      <c r="CJ72" s="3" t="s">
        <v>136</v>
      </c>
      <c r="CK72" s="3" t="s">
        <v>136</v>
      </c>
      <c r="CL72" s="1"/>
      <c r="CM72" s="3" t="s">
        <v>205</v>
      </c>
      <c r="CN72" s="3" t="s">
        <v>136</v>
      </c>
      <c r="CO72" s="3" t="s">
        <v>136</v>
      </c>
      <c r="CP72" s="3" t="s">
        <v>136</v>
      </c>
      <c r="CQ72" s="3">
        <v>1</v>
      </c>
      <c r="CR72" s="1"/>
      <c r="CS72" s="1" t="s">
        <v>138</v>
      </c>
      <c r="CT72" s="1" t="s">
        <v>138</v>
      </c>
      <c r="CU72" s="1" t="s">
        <v>138</v>
      </c>
      <c r="CV72" s="1" t="s">
        <v>138</v>
      </c>
      <c r="CW72" s="1" t="s">
        <v>138</v>
      </c>
    </row>
    <row r="73" spans="1:192" ht="45">
      <c r="A73" s="190">
        <v>20052</v>
      </c>
      <c r="B73" s="55" t="s">
        <v>150</v>
      </c>
      <c r="C73" s="38">
        <v>77.8</v>
      </c>
      <c r="D73" s="39">
        <v>9</v>
      </c>
      <c r="E73" s="38">
        <v>4</v>
      </c>
      <c r="F73" s="39">
        <v>13</v>
      </c>
      <c r="G73" s="38">
        <v>10</v>
      </c>
      <c r="H73" s="38">
        <v>7</v>
      </c>
      <c r="I73" s="15">
        <v>8.9</v>
      </c>
      <c r="J73" s="38" t="s">
        <v>190</v>
      </c>
      <c r="K73" s="40">
        <v>3.9739999999999998E-2</v>
      </c>
      <c r="L73" s="40">
        <v>1.562E-2</v>
      </c>
      <c r="M73" s="40">
        <v>1.0240000000000001E-2</v>
      </c>
      <c r="N73" s="40">
        <v>3.9739999999999998E-2</v>
      </c>
      <c r="O73" s="40">
        <v>1.562E-2</v>
      </c>
      <c r="P73" s="40">
        <v>1.0240000000000001E-2</v>
      </c>
      <c r="Q73" s="40">
        <v>0.82299999999999995</v>
      </c>
      <c r="R73" s="40">
        <v>1.7000000000000001E-2</v>
      </c>
      <c r="S73" s="40">
        <v>3.4000000000000002E-2</v>
      </c>
      <c r="T73" s="40">
        <v>0</v>
      </c>
      <c r="U73" s="40">
        <v>0.126</v>
      </c>
      <c r="V73" s="40">
        <v>0</v>
      </c>
      <c r="W73" s="41">
        <v>82</v>
      </c>
      <c r="X73" s="42">
        <v>0.82299999999999995</v>
      </c>
      <c r="Y73" s="43">
        <v>144</v>
      </c>
      <c r="Z73" s="42">
        <v>1.7000000000000001E-2</v>
      </c>
      <c r="AA73" s="42">
        <v>3.4000000000000002E-2</v>
      </c>
      <c r="AB73" s="42">
        <v>0</v>
      </c>
      <c r="AC73" s="42">
        <v>0.126</v>
      </c>
      <c r="AD73" s="40">
        <v>0.16</v>
      </c>
      <c r="AE73" s="42">
        <v>0</v>
      </c>
      <c r="AF73" s="38" t="s">
        <v>167</v>
      </c>
      <c r="AG73" s="38" t="s">
        <v>130</v>
      </c>
      <c r="AH73" s="38" t="s">
        <v>146</v>
      </c>
      <c r="AI73" s="38">
        <v>13</v>
      </c>
      <c r="AJ73" s="38">
        <v>57</v>
      </c>
      <c r="AK73" s="38">
        <v>112</v>
      </c>
      <c r="AL73" s="39" t="s">
        <v>132</v>
      </c>
      <c r="AM73" s="39">
        <v>153</v>
      </c>
      <c r="AN73" s="36">
        <v>87</v>
      </c>
      <c r="AO73" s="39">
        <v>17</v>
      </c>
      <c r="AP73" s="36">
        <v>28</v>
      </c>
      <c r="AQ73" s="38">
        <v>38</v>
      </c>
      <c r="AR73" s="38">
        <v>95</v>
      </c>
      <c r="AS73" s="39">
        <v>36</v>
      </c>
      <c r="AT73" s="38">
        <v>90</v>
      </c>
      <c r="AU73" s="39">
        <v>76</v>
      </c>
      <c r="AV73" s="39">
        <v>95</v>
      </c>
      <c r="AW73" s="39">
        <v>73</v>
      </c>
      <c r="AX73" s="39">
        <v>91</v>
      </c>
      <c r="AY73" s="46">
        <f t="shared" si="10"/>
        <v>2.9856086606416876</v>
      </c>
      <c r="AZ73" s="31">
        <f t="shared" si="12"/>
        <v>2.9034328006778445</v>
      </c>
      <c r="BA73" s="39">
        <v>29</v>
      </c>
      <c r="BB73" s="39">
        <v>97</v>
      </c>
      <c r="BC73" s="39">
        <v>15</v>
      </c>
      <c r="BD73" s="39">
        <v>100</v>
      </c>
      <c r="BE73" s="39">
        <v>14</v>
      </c>
      <c r="BF73" s="39">
        <v>93</v>
      </c>
      <c r="BG73" s="39">
        <v>29</v>
      </c>
      <c r="BH73" s="39">
        <v>97</v>
      </c>
      <c r="BI73" s="39">
        <v>30</v>
      </c>
      <c r="BJ73" s="39">
        <v>100</v>
      </c>
      <c r="BK73" s="39">
        <v>56</v>
      </c>
      <c r="BL73" s="2">
        <v>88</v>
      </c>
      <c r="BM73" s="39">
        <v>174</v>
      </c>
      <c r="BN73" s="2">
        <v>87</v>
      </c>
      <c r="BO73" s="47">
        <f t="shared" si="11"/>
        <v>85.294117647058826</v>
      </c>
      <c r="BP73" s="39">
        <v>49</v>
      </c>
      <c r="BQ73" s="2">
        <v>94</v>
      </c>
      <c r="BR73" s="36" t="s">
        <v>148</v>
      </c>
      <c r="BS73" s="2">
        <v>3.2</v>
      </c>
      <c r="BT73" s="39">
        <v>38</v>
      </c>
      <c r="BU73" s="2">
        <v>95</v>
      </c>
      <c r="BV73" s="2">
        <v>4</v>
      </c>
      <c r="BW73" s="39">
        <v>39</v>
      </c>
      <c r="BX73" s="2">
        <v>98</v>
      </c>
      <c r="BY73" s="2">
        <v>2.3199999999999998</v>
      </c>
      <c r="BZ73" s="36" t="s">
        <v>221</v>
      </c>
      <c r="CA73" s="36" t="s">
        <v>221</v>
      </c>
      <c r="CB73" s="48">
        <v>32</v>
      </c>
      <c r="CC73" s="48">
        <v>0.183</v>
      </c>
      <c r="CD73" s="138">
        <v>100</v>
      </c>
      <c r="CE73" s="138">
        <v>100</v>
      </c>
      <c r="CF73" s="138">
        <v>100</v>
      </c>
      <c r="CG73" s="39">
        <v>100</v>
      </c>
      <c r="CH73" s="39" t="s">
        <v>140</v>
      </c>
      <c r="CI73" s="2" t="s">
        <v>136</v>
      </c>
      <c r="CJ73" s="39" t="s">
        <v>141</v>
      </c>
      <c r="CK73" s="39" t="s">
        <v>163</v>
      </c>
      <c r="CL73" s="39"/>
      <c r="CM73" s="2" t="s">
        <v>152</v>
      </c>
      <c r="CN73" s="2" t="s">
        <v>136</v>
      </c>
      <c r="CO73" s="2" t="s">
        <v>136</v>
      </c>
      <c r="CP73" s="2" t="s">
        <v>136</v>
      </c>
      <c r="CQ73" s="2">
        <v>1</v>
      </c>
      <c r="CR73" s="39"/>
      <c r="CS73" s="2" t="s">
        <v>140</v>
      </c>
      <c r="CT73" s="2" t="s">
        <v>140</v>
      </c>
      <c r="CU73" s="2">
        <v>100</v>
      </c>
      <c r="CV73" s="2">
        <v>100</v>
      </c>
      <c r="CW73" s="2">
        <v>100</v>
      </c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</row>
    <row r="74" spans="1:192" s="13" customFormat="1" ht="60">
      <c r="A74" s="190">
        <v>20053</v>
      </c>
      <c r="B74" s="23" t="s">
        <v>127</v>
      </c>
      <c r="C74" s="1">
        <v>56.8</v>
      </c>
      <c r="D74" s="1">
        <v>6</v>
      </c>
      <c r="E74" s="1">
        <v>5</v>
      </c>
      <c r="F74" s="1">
        <v>11</v>
      </c>
      <c r="G74" s="1">
        <v>7.3</v>
      </c>
      <c r="H74" s="1">
        <v>7.2</v>
      </c>
      <c r="I74" s="1">
        <v>2.9</v>
      </c>
      <c r="J74" s="1" t="s">
        <v>210</v>
      </c>
      <c r="K74" s="26">
        <v>3.96E-3</v>
      </c>
      <c r="L74" s="26">
        <v>2.2270000000000002E-2</v>
      </c>
      <c r="M74" s="26">
        <v>9.8080000000000001E-2</v>
      </c>
      <c r="N74" s="27">
        <v>3.96E-3</v>
      </c>
      <c r="O74" s="27">
        <v>2.2270000000000002E-2</v>
      </c>
      <c r="P74" s="27">
        <v>9.8080000000000001E-2</v>
      </c>
      <c r="Q74" s="27">
        <v>0.16700000000000001</v>
      </c>
      <c r="R74" s="27">
        <v>0.31</v>
      </c>
      <c r="S74" s="27">
        <v>9.5000000000000001E-2</v>
      </c>
      <c r="T74" s="27">
        <v>9.5000000000000001E-2</v>
      </c>
      <c r="U74" s="27">
        <v>0.16700000000000001</v>
      </c>
      <c r="V74" s="27">
        <v>0.16700000000000001</v>
      </c>
      <c r="W74" s="28">
        <v>4</v>
      </c>
      <c r="X74" s="18">
        <v>0.04</v>
      </c>
      <c r="Y74" s="28">
        <v>7</v>
      </c>
      <c r="Z74" s="18">
        <v>7.3999999999999996E-2</v>
      </c>
      <c r="AA74" s="18">
        <v>2.3E-2</v>
      </c>
      <c r="AB74" s="18">
        <v>2.3E-2</v>
      </c>
      <c r="AC74" s="18">
        <v>0.04</v>
      </c>
      <c r="AD74" s="27">
        <f t="shared" ref="AD74:AD82" si="13">AC74+AA74</f>
        <v>6.3E-2</v>
      </c>
      <c r="AE74" s="18">
        <v>0.04</v>
      </c>
      <c r="AF74" s="1" t="s">
        <v>129</v>
      </c>
      <c r="AG74" s="1" t="s">
        <v>130</v>
      </c>
      <c r="AH74" s="1" t="s">
        <v>146</v>
      </c>
      <c r="AI74" s="1">
        <v>16</v>
      </c>
      <c r="AJ74" s="1">
        <v>54</v>
      </c>
      <c r="AK74" s="1">
        <v>130</v>
      </c>
      <c r="AL74" s="1" t="s">
        <v>132</v>
      </c>
      <c r="AM74" s="108">
        <v>165</v>
      </c>
      <c r="AN74" s="1">
        <v>94</v>
      </c>
      <c r="AO74" s="1" t="s">
        <v>237</v>
      </c>
      <c r="AP74" s="3" t="s">
        <v>238</v>
      </c>
      <c r="AQ74" s="1">
        <v>35</v>
      </c>
      <c r="AR74" s="1">
        <v>88</v>
      </c>
      <c r="AS74" s="1">
        <v>29</v>
      </c>
      <c r="AT74" s="1">
        <v>73</v>
      </c>
      <c r="AU74" s="1">
        <v>73</v>
      </c>
      <c r="AV74" s="1">
        <v>91</v>
      </c>
      <c r="AW74" s="1">
        <v>69</v>
      </c>
      <c r="AX74" s="1">
        <v>86</v>
      </c>
      <c r="AY74" s="30">
        <f t="shared" si="10"/>
        <v>2.4210743745051726</v>
      </c>
      <c r="AZ74" s="31">
        <f t="shared" si="12"/>
        <v>2.3707762261862202</v>
      </c>
      <c r="BA74" s="1">
        <v>15</v>
      </c>
      <c r="BB74" s="1">
        <v>50</v>
      </c>
      <c r="BC74" s="1">
        <v>6</v>
      </c>
      <c r="BD74" s="1">
        <v>40</v>
      </c>
      <c r="BE74" s="1">
        <v>9</v>
      </c>
      <c r="BF74" s="1">
        <v>60</v>
      </c>
      <c r="BG74" s="1">
        <v>24</v>
      </c>
      <c r="BH74" s="1">
        <v>80</v>
      </c>
      <c r="BI74" s="1">
        <v>25</v>
      </c>
      <c r="BJ74" s="1">
        <v>83</v>
      </c>
      <c r="BK74" s="108">
        <v>23</v>
      </c>
      <c r="BL74" s="3">
        <v>36</v>
      </c>
      <c r="BM74" s="1">
        <v>123</v>
      </c>
      <c r="BN74" s="3">
        <v>61</v>
      </c>
      <c r="BO74" s="21">
        <f t="shared" si="11"/>
        <v>60.294117647058819</v>
      </c>
      <c r="BP74" s="1">
        <v>28</v>
      </c>
      <c r="BQ74" s="3">
        <v>54</v>
      </c>
      <c r="BR74" s="23" t="s">
        <v>185</v>
      </c>
      <c r="BS74" s="3">
        <v>1.4</v>
      </c>
      <c r="BT74" s="1">
        <v>26</v>
      </c>
      <c r="BU74" s="3">
        <v>65</v>
      </c>
      <c r="BV74" s="3">
        <v>0.5</v>
      </c>
      <c r="BW74" s="1">
        <v>35</v>
      </c>
      <c r="BX74" s="3">
        <v>88</v>
      </c>
      <c r="BY74" s="137">
        <v>2</v>
      </c>
      <c r="BZ74" s="23" t="s">
        <v>194</v>
      </c>
      <c r="CA74" s="23" t="s">
        <v>147</v>
      </c>
      <c r="CB74" s="33">
        <v>10</v>
      </c>
      <c r="CC74" s="34">
        <v>5.7142857142857141E-2</v>
      </c>
      <c r="CD74" s="3" t="s">
        <v>165</v>
      </c>
      <c r="CE74" s="3" t="s">
        <v>165</v>
      </c>
      <c r="CF74" s="3" t="s">
        <v>165</v>
      </c>
      <c r="CG74" s="1">
        <v>100</v>
      </c>
      <c r="CH74" s="1" t="s">
        <v>140</v>
      </c>
      <c r="CI74" s="3" t="s">
        <v>188</v>
      </c>
      <c r="CL74" s="1" t="s">
        <v>138</v>
      </c>
      <c r="CM74" s="3" t="s">
        <v>239</v>
      </c>
      <c r="CN74" s="3" t="s">
        <v>188</v>
      </c>
      <c r="CR74" s="1" t="s">
        <v>138</v>
      </c>
      <c r="CS74" s="1" t="s">
        <v>138</v>
      </c>
      <c r="CT74" s="1" t="s">
        <v>138</v>
      </c>
      <c r="CU74" s="1" t="s">
        <v>138</v>
      </c>
      <c r="CV74" s="1" t="s">
        <v>138</v>
      </c>
      <c r="CW74" s="1" t="s">
        <v>138</v>
      </c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</row>
    <row r="75" spans="1:192" ht="60">
      <c r="A75" s="190">
        <v>20054</v>
      </c>
      <c r="B75" s="23" t="s">
        <v>127</v>
      </c>
      <c r="C75" s="1">
        <v>95.2</v>
      </c>
      <c r="D75" s="1">
        <v>10</v>
      </c>
      <c r="E75" s="1">
        <v>9</v>
      </c>
      <c r="F75" s="1">
        <v>19</v>
      </c>
      <c r="G75" s="1">
        <v>9.8000000000000007</v>
      </c>
      <c r="H75" s="1">
        <v>10</v>
      </c>
      <c r="I75" s="15">
        <v>8.8000000000000007</v>
      </c>
      <c r="J75" s="1" t="s">
        <v>128</v>
      </c>
      <c r="K75" s="26">
        <v>2.5180000000000001E-2</v>
      </c>
      <c r="L75" s="26">
        <v>5.3999999999999999E-2</v>
      </c>
      <c r="M75" s="26">
        <v>1.0319999999999999E-2</v>
      </c>
      <c r="N75" s="27">
        <v>2.5180000000000001E-2</v>
      </c>
      <c r="O75" s="27">
        <v>5.3999999999999999E-2</v>
      </c>
      <c r="P75" s="27">
        <v>1.0319999999999999E-2</v>
      </c>
      <c r="Q75" s="27">
        <v>0.92400000000000004</v>
      </c>
      <c r="R75" s="27">
        <v>3.5000000000000003E-2</v>
      </c>
      <c r="S75" s="27">
        <v>0</v>
      </c>
      <c r="T75" s="27">
        <v>3.5000000000000003E-2</v>
      </c>
      <c r="U75" s="27">
        <v>0</v>
      </c>
      <c r="V75" s="27">
        <v>6.0000000000000001E-3</v>
      </c>
      <c r="W75" s="28">
        <v>90</v>
      </c>
      <c r="X75" s="18">
        <v>0.89714285714285713</v>
      </c>
      <c r="Y75" s="28">
        <v>157</v>
      </c>
      <c r="Z75" s="18">
        <v>3.4000000000000002E-2</v>
      </c>
      <c r="AA75" s="18">
        <v>0</v>
      </c>
      <c r="AB75" s="18">
        <v>3.4000000000000002E-2</v>
      </c>
      <c r="AC75" s="18">
        <v>0</v>
      </c>
      <c r="AD75" s="27">
        <f t="shared" si="13"/>
        <v>0</v>
      </c>
      <c r="AE75" s="18">
        <v>6.0000000000000001E-3</v>
      </c>
      <c r="AF75" s="1" t="s">
        <v>167</v>
      </c>
      <c r="AG75" s="1" t="s">
        <v>130</v>
      </c>
      <c r="AH75" s="1" t="s">
        <v>146</v>
      </c>
      <c r="AI75" s="1">
        <v>18</v>
      </c>
      <c r="AJ75" s="1">
        <v>54</v>
      </c>
      <c r="AK75" s="1">
        <v>7</v>
      </c>
      <c r="AL75" s="1" t="s">
        <v>132</v>
      </c>
      <c r="AM75" s="1">
        <v>167</v>
      </c>
      <c r="AN75" s="1">
        <v>95</v>
      </c>
      <c r="AO75" s="1">
        <v>53</v>
      </c>
      <c r="AP75" s="3">
        <v>88</v>
      </c>
      <c r="AQ75" s="1">
        <v>37</v>
      </c>
      <c r="AR75" s="1">
        <v>93</v>
      </c>
      <c r="AS75" s="1">
        <v>37</v>
      </c>
      <c r="AT75" s="1">
        <v>93</v>
      </c>
      <c r="AU75" s="1">
        <v>71</v>
      </c>
      <c r="AV75" s="1">
        <v>89</v>
      </c>
      <c r="AW75" s="1">
        <v>77</v>
      </c>
      <c r="AX75" s="1">
        <v>96</v>
      </c>
      <c r="AY75" s="30">
        <f t="shared" si="10"/>
        <v>2.97721419128878</v>
      </c>
      <c r="AZ75" s="31">
        <f t="shared" si="12"/>
        <v>2.8895906906382796</v>
      </c>
      <c r="BA75" s="1">
        <v>26</v>
      </c>
      <c r="BB75" s="1">
        <v>87</v>
      </c>
      <c r="BC75" s="1">
        <v>15</v>
      </c>
      <c r="BD75" s="1">
        <v>100</v>
      </c>
      <c r="BE75" s="1">
        <v>11</v>
      </c>
      <c r="BF75" s="1">
        <v>73</v>
      </c>
      <c r="BG75" s="1">
        <v>30</v>
      </c>
      <c r="BH75" s="1">
        <v>100</v>
      </c>
      <c r="BI75" s="1">
        <v>30</v>
      </c>
      <c r="BJ75" s="1">
        <v>100</v>
      </c>
      <c r="BK75" s="1">
        <v>53</v>
      </c>
      <c r="BL75" s="3">
        <v>83</v>
      </c>
      <c r="BM75" s="1">
        <v>175</v>
      </c>
      <c r="BN75" s="3">
        <v>87</v>
      </c>
      <c r="BO75" s="21">
        <f t="shared" si="11"/>
        <v>85.784313725490193</v>
      </c>
      <c r="BP75" s="1">
        <v>48</v>
      </c>
      <c r="BQ75" s="3">
        <v>92</v>
      </c>
      <c r="BR75" s="23" t="s">
        <v>133</v>
      </c>
      <c r="BS75" s="3">
        <v>5</v>
      </c>
      <c r="BT75" s="1">
        <v>36</v>
      </c>
      <c r="BU75" s="3">
        <v>90</v>
      </c>
      <c r="BV75" s="3">
        <v>4.0999999999999996</v>
      </c>
      <c r="BW75" s="1">
        <v>38</v>
      </c>
      <c r="BX75" s="3">
        <v>95</v>
      </c>
      <c r="BY75" s="3">
        <v>6.81</v>
      </c>
      <c r="BZ75" s="23" t="s">
        <v>134</v>
      </c>
      <c r="CA75" s="23" t="s">
        <v>147</v>
      </c>
      <c r="CB75" s="33">
        <v>2</v>
      </c>
      <c r="CC75" s="34">
        <v>1.1428571428571429E-2</v>
      </c>
      <c r="CD75" s="3">
        <v>98</v>
      </c>
      <c r="CE75" s="3">
        <v>99</v>
      </c>
      <c r="CF75" s="3">
        <v>98</v>
      </c>
      <c r="CG75" s="1">
        <v>80</v>
      </c>
      <c r="CH75" s="1" t="s">
        <v>153</v>
      </c>
      <c r="CI75" s="3" t="s">
        <v>136</v>
      </c>
      <c r="CJ75" s="3" t="s">
        <v>136</v>
      </c>
      <c r="CK75" s="3" t="s">
        <v>136</v>
      </c>
      <c r="CM75" s="3" t="s">
        <v>212</v>
      </c>
      <c r="CN75" s="3" t="s">
        <v>188</v>
      </c>
      <c r="CO75" s="13"/>
      <c r="CP75" s="13"/>
      <c r="CQ75" s="13"/>
      <c r="CR75" s="1" t="s">
        <v>138</v>
      </c>
      <c r="CS75" s="1" t="s">
        <v>138</v>
      </c>
      <c r="CT75" s="1" t="s">
        <v>138</v>
      </c>
      <c r="CU75" s="1" t="s">
        <v>138</v>
      </c>
      <c r="CV75" s="1" t="s">
        <v>138</v>
      </c>
      <c r="CW75" s="1" t="s">
        <v>138</v>
      </c>
    </row>
    <row r="76" spans="1:192" ht="60">
      <c r="A76" s="190">
        <v>20055</v>
      </c>
      <c r="B76" s="23" t="s">
        <v>127</v>
      </c>
      <c r="C76" s="1">
        <v>82.3</v>
      </c>
      <c r="D76" s="1">
        <v>9</v>
      </c>
      <c r="E76" s="1">
        <v>8</v>
      </c>
      <c r="F76" s="1">
        <v>17</v>
      </c>
      <c r="G76" s="1">
        <v>9.0500000000000007</v>
      </c>
      <c r="H76" s="1">
        <v>6.1</v>
      </c>
      <c r="I76" s="1">
        <v>9</v>
      </c>
      <c r="J76" s="1" t="s">
        <v>145</v>
      </c>
      <c r="K76" s="26">
        <v>1.8429999999999998E-2</v>
      </c>
      <c r="L76" s="26">
        <v>1.486E-2</v>
      </c>
      <c r="M76" s="26">
        <v>4.299E-2</v>
      </c>
      <c r="N76" s="27">
        <v>1.8429999999999998E-2</v>
      </c>
      <c r="O76" s="27">
        <v>1.486E-2</v>
      </c>
      <c r="P76" s="27">
        <v>4.299E-2</v>
      </c>
      <c r="Q76" s="27">
        <v>0.503</v>
      </c>
      <c r="R76" s="27">
        <v>2.4E-2</v>
      </c>
      <c r="S76" s="27">
        <v>0.16600000000000001</v>
      </c>
      <c r="T76" s="27">
        <v>2.4E-2</v>
      </c>
      <c r="U76" s="27">
        <v>0.27200000000000002</v>
      </c>
      <c r="V76" s="27">
        <v>1.2E-2</v>
      </c>
      <c r="W76" s="28">
        <v>49</v>
      </c>
      <c r="X76" s="18">
        <v>0.48571428571428571</v>
      </c>
      <c r="Y76" s="28">
        <v>85</v>
      </c>
      <c r="Z76" s="18">
        <v>2.3E-2</v>
      </c>
      <c r="AA76" s="18">
        <v>0.16</v>
      </c>
      <c r="AB76" s="18">
        <v>2.3E-2</v>
      </c>
      <c r="AC76" s="18">
        <v>0.26300000000000001</v>
      </c>
      <c r="AD76" s="27">
        <f t="shared" si="13"/>
        <v>0.42300000000000004</v>
      </c>
      <c r="AE76" s="18">
        <v>1.0999999999999999E-2</v>
      </c>
      <c r="AF76" s="1" t="s">
        <v>167</v>
      </c>
      <c r="AG76" s="1" t="s">
        <v>130</v>
      </c>
      <c r="AH76" s="1" t="s">
        <v>131</v>
      </c>
      <c r="AI76" s="1">
        <v>14</v>
      </c>
      <c r="AJ76" s="1">
        <v>42</v>
      </c>
      <c r="AK76" s="1">
        <v>7</v>
      </c>
      <c r="AL76" s="1" t="s">
        <v>132</v>
      </c>
      <c r="AM76" s="108">
        <v>129</v>
      </c>
      <c r="AN76" s="1">
        <v>74</v>
      </c>
      <c r="AO76" s="1">
        <v>10</v>
      </c>
      <c r="AP76" s="3">
        <v>17</v>
      </c>
      <c r="AQ76" s="1">
        <v>33</v>
      </c>
      <c r="AR76" s="1">
        <v>83</v>
      </c>
      <c r="AS76" s="1">
        <v>27</v>
      </c>
      <c r="AT76" s="1">
        <v>68</v>
      </c>
      <c r="AU76" s="1">
        <v>61</v>
      </c>
      <c r="AV76" s="1">
        <v>76</v>
      </c>
      <c r="AW76" s="1">
        <v>55</v>
      </c>
      <c r="AX76" s="1">
        <v>69</v>
      </c>
      <c r="AY76" s="30">
        <f t="shared" si="10"/>
        <v>1.2021529101875406</v>
      </c>
      <c r="AZ76" s="31">
        <f t="shared" si="12"/>
        <v>1.1852268562962835</v>
      </c>
      <c r="BA76" s="1">
        <v>27</v>
      </c>
      <c r="BB76" s="1">
        <v>90</v>
      </c>
      <c r="BC76" s="1">
        <v>14</v>
      </c>
      <c r="BD76" s="1">
        <v>93</v>
      </c>
      <c r="BE76" s="1">
        <v>13</v>
      </c>
      <c r="BF76" s="1">
        <v>87</v>
      </c>
      <c r="BG76" s="1">
        <v>23</v>
      </c>
      <c r="BH76" s="1">
        <v>77</v>
      </c>
      <c r="BI76" s="1">
        <v>28</v>
      </c>
      <c r="BJ76" s="1">
        <v>93</v>
      </c>
      <c r="BK76" s="108">
        <v>58</v>
      </c>
      <c r="BL76" s="3">
        <v>91</v>
      </c>
      <c r="BM76" s="1">
        <v>149</v>
      </c>
      <c r="BN76" s="3">
        <v>78</v>
      </c>
      <c r="BO76" s="21">
        <f t="shared" si="11"/>
        <v>73.039215686274503</v>
      </c>
      <c r="BP76" s="1">
        <v>48</v>
      </c>
      <c r="BQ76" s="3">
        <v>92</v>
      </c>
      <c r="BR76" s="23" t="s">
        <v>133</v>
      </c>
      <c r="BS76" s="3">
        <v>2.2000000000000002</v>
      </c>
      <c r="BT76" s="1">
        <v>31</v>
      </c>
      <c r="BU76" s="3">
        <v>78</v>
      </c>
      <c r="BV76" s="3">
        <v>2.1</v>
      </c>
      <c r="BW76" s="1">
        <v>36</v>
      </c>
      <c r="BX76" s="3">
        <v>90</v>
      </c>
      <c r="BY76" s="3">
        <v>1.6</v>
      </c>
      <c r="BZ76" s="23" t="s">
        <v>134</v>
      </c>
      <c r="CA76" s="23" t="s">
        <v>147</v>
      </c>
      <c r="CB76" s="33">
        <v>10</v>
      </c>
      <c r="CC76" s="34">
        <v>5.7142857142857141E-2</v>
      </c>
      <c r="CD76" s="3" t="s">
        <v>165</v>
      </c>
      <c r="CE76" s="3" t="s">
        <v>165</v>
      </c>
      <c r="CF76" s="3" t="s">
        <v>165</v>
      </c>
      <c r="CG76" s="1">
        <v>76.5</v>
      </c>
      <c r="CH76" s="1" t="s">
        <v>140</v>
      </c>
      <c r="CI76" s="3" t="s">
        <v>188</v>
      </c>
      <c r="CJ76" s="13"/>
      <c r="CK76" s="13"/>
      <c r="CL76" s="1" t="s">
        <v>138</v>
      </c>
      <c r="CM76" s="3" t="s">
        <v>137</v>
      </c>
      <c r="CN76" s="3" t="s">
        <v>188</v>
      </c>
      <c r="CO76" s="13"/>
      <c r="CP76" s="13"/>
      <c r="CQ76" s="13"/>
      <c r="CR76" s="1" t="s">
        <v>138</v>
      </c>
      <c r="CS76" s="1" t="s">
        <v>138</v>
      </c>
      <c r="CT76" s="1" t="s">
        <v>138</v>
      </c>
      <c r="CU76" s="1" t="s">
        <v>138</v>
      </c>
      <c r="CV76" s="1" t="s">
        <v>138</v>
      </c>
      <c r="CW76" s="1" t="s">
        <v>138</v>
      </c>
      <c r="DJ76" s="3"/>
    </row>
    <row r="77" spans="1:192" ht="60">
      <c r="A77" s="190">
        <v>20056</v>
      </c>
      <c r="B77" s="23" t="s">
        <v>240</v>
      </c>
      <c r="C77" s="1">
        <v>53.5</v>
      </c>
      <c r="D77" s="1">
        <v>6</v>
      </c>
      <c r="E77" s="1">
        <v>5</v>
      </c>
      <c r="F77" s="1">
        <v>11</v>
      </c>
      <c r="G77" s="1">
        <v>4.25</v>
      </c>
      <c r="H77" s="1">
        <v>7.6</v>
      </c>
      <c r="I77" s="1">
        <v>3.9</v>
      </c>
      <c r="J77" s="1" t="s">
        <v>241</v>
      </c>
      <c r="K77" s="26">
        <v>3.16E-3</v>
      </c>
      <c r="L77" s="26">
        <v>3.1620000000000002E-2</v>
      </c>
      <c r="M77" s="26">
        <v>7.9240000000000005E-2</v>
      </c>
      <c r="N77" s="27">
        <v>3.16E-3</v>
      </c>
      <c r="O77" s="27">
        <v>3.1620000000000002E-2</v>
      </c>
      <c r="P77" s="27">
        <v>7.9240000000000005E-2</v>
      </c>
      <c r="Q77" s="27">
        <v>0.25</v>
      </c>
      <c r="R77" s="27">
        <v>0.17499999999999999</v>
      </c>
      <c r="S77" s="27">
        <v>9.1999999999999998E-2</v>
      </c>
      <c r="T77" s="27">
        <v>7.4999999999999997E-2</v>
      </c>
      <c r="U77" s="27">
        <v>4.2000000000000003E-2</v>
      </c>
      <c r="V77" s="27">
        <v>0.36699999999999999</v>
      </c>
      <c r="W77" s="28">
        <v>17</v>
      </c>
      <c r="X77" s="27">
        <v>0.17142857142857143</v>
      </c>
      <c r="Y77" s="52">
        <v>30</v>
      </c>
      <c r="Z77" s="18">
        <v>0.12</v>
      </c>
      <c r="AA77" s="18">
        <v>6.3E-2</v>
      </c>
      <c r="AB77" s="18">
        <v>5.0999999999999997E-2</v>
      </c>
      <c r="AC77" s="18">
        <v>2.9000000000000001E-2</v>
      </c>
      <c r="AD77" s="27">
        <f t="shared" si="13"/>
        <v>9.1999999999999998E-2</v>
      </c>
      <c r="AE77" s="18">
        <v>0.251</v>
      </c>
      <c r="AF77" s="1" t="s">
        <v>167</v>
      </c>
      <c r="AG77" s="1" t="s">
        <v>130</v>
      </c>
      <c r="AH77" s="1" t="s">
        <v>131</v>
      </c>
      <c r="AI77" s="1">
        <v>12</v>
      </c>
      <c r="AJ77" s="1">
        <v>59</v>
      </c>
      <c r="AK77" s="1">
        <v>16</v>
      </c>
      <c r="AL77" s="1" t="s">
        <v>132</v>
      </c>
      <c r="AM77" s="1">
        <v>160</v>
      </c>
      <c r="AN77" s="1">
        <v>91</v>
      </c>
      <c r="AO77" s="1">
        <v>36</v>
      </c>
      <c r="AP77" s="3">
        <v>60</v>
      </c>
      <c r="AQ77" s="1">
        <v>22</v>
      </c>
      <c r="AR77" s="1">
        <v>55</v>
      </c>
      <c r="AS77" s="1">
        <v>24</v>
      </c>
      <c r="AT77" s="1">
        <v>60</v>
      </c>
      <c r="AU77" s="1">
        <v>43</v>
      </c>
      <c r="AV77" s="1">
        <v>54</v>
      </c>
      <c r="AW77" s="1">
        <v>47</v>
      </c>
      <c r="AX77" s="1">
        <v>59</v>
      </c>
      <c r="AY77" s="30">
        <f t="shared" si="10"/>
        <v>0.32797869715261924</v>
      </c>
      <c r="AZ77" s="31">
        <f t="shared" si="12"/>
        <v>0.3238774130790586</v>
      </c>
      <c r="BA77" s="1">
        <v>10</v>
      </c>
      <c r="BB77" s="1">
        <v>33</v>
      </c>
      <c r="BC77" s="1">
        <v>2</v>
      </c>
      <c r="BD77" s="1">
        <v>13</v>
      </c>
      <c r="BE77" s="1">
        <v>8</v>
      </c>
      <c r="BF77" s="1">
        <v>53</v>
      </c>
      <c r="BG77" s="1">
        <v>17</v>
      </c>
      <c r="BH77" s="1">
        <v>57</v>
      </c>
      <c r="BI77" s="1">
        <v>19</v>
      </c>
      <c r="BJ77" s="1">
        <v>63</v>
      </c>
      <c r="BK77" s="1">
        <v>34</v>
      </c>
      <c r="BL77" s="3">
        <v>53</v>
      </c>
      <c r="BM77" s="1">
        <v>123</v>
      </c>
      <c r="BN77" s="3">
        <v>61</v>
      </c>
      <c r="BO77" s="21">
        <f t="shared" si="11"/>
        <v>60.294117647058819</v>
      </c>
      <c r="BP77" s="1">
        <v>24</v>
      </c>
      <c r="BQ77" s="3">
        <v>46</v>
      </c>
      <c r="BR77" s="23" t="s">
        <v>133</v>
      </c>
      <c r="BS77" s="3">
        <v>0.5</v>
      </c>
      <c r="BT77" s="1">
        <v>23</v>
      </c>
      <c r="BU77" s="3">
        <v>58</v>
      </c>
      <c r="BV77" s="3">
        <v>0.5</v>
      </c>
      <c r="BW77" s="1">
        <v>36</v>
      </c>
      <c r="BX77" s="3">
        <v>90</v>
      </c>
      <c r="BY77" s="3">
        <v>1.25</v>
      </c>
      <c r="BZ77" s="23" t="s">
        <v>134</v>
      </c>
      <c r="CA77" s="23" t="s">
        <v>134</v>
      </c>
      <c r="CB77" s="33">
        <v>10</v>
      </c>
      <c r="CC77" s="34">
        <v>5.7142857142857141E-2</v>
      </c>
      <c r="CD77" s="3">
        <v>43</v>
      </c>
      <c r="CE77" s="3">
        <v>54</v>
      </c>
      <c r="CF77" s="3">
        <v>65</v>
      </c>
      <c r="CG77" s="1">
        <v>100</v>
      </c>
      <c r="CH77" s="1" t="s">
        <v>140</v>
      </c>
      <c r="CI77" s="3" t="s">
        <v>188</v>
      </c>
      <c r="CJ77" s="13"/>
      <c r="CK77" s="13"/>
      <c r="CL77" s="1" t="s">
        <v>138</v>
      </c>
      <c r="CM77" s="3" t="s">
        <v>168</v>
      </c>
      <c r="CN77" s="3" t="s">
        <v>188</v>
      </c>
      <c r="CO77" s="13"/>
      <c r="CP77" s="13"/>
      <c r="CQ77" s="13"/>
      <c r="CR77" s="1" t="s">
        <v>138</v>
      </c>
      <c r="CS77" s="1" t="s">
        <v>138</v>
      </c>
      <c r="CT77" s="1" t="s">
        <v>138</v>
      </c>
      <c r="CU77" s="1" t="s">
        <v>138</v>
      </c>
      <c r="CV77" s="1" t="s">
        <v>138</v>
      </c>
      <c r="CW77" s="1" t="s">
        <v>138</v>
      </c>
      <c r="DJ77" s="3"/>
    </row>
    <row r="78" spans="1:192" ht="60">
      <c r="A78" s="190">
        <v>20057</v>
      </c>
      <c r="B78" s="23" t="s">
        <v>166</v>
      </c>
      <c r="C78" s="1">
        <v>76</v>
      </c>
      <c r="D78" s="1">
        <v>6</v>
      </c>
      <c r="E78" s="1">
        <v>5</v>
      </c>
      <c r="F78" s="1">
        <v>11</v>
      </c>
      <c r="G78" s="1">
        <v>9.8000000000000007</v>
      </c>
      <c r="H78" s="1">
        <v>9.6</v>
      </c>
      <c r="I78" s="1">
        <v>7.6</v>
      </c>
      <c r="J78" s="1" t="s">
        <v>128</v>
      </c>
      <c r="K78" s="26">
        <v>2.3980000000000001E-2</v>
      </c>
      <c r="L78" s="26">
        <v>2.4750000000000001E-2</v>
      </c>
      <c r="M78" s="26">
        <v>1.9060000000000001E-2</v>
      </c>
      <c r="N78" s="27">
        <v>2.3980000000000001E-2</v>
      </c>
      <c r="O78" s="27">
        <v>2.4750000000000001E-2</v>
      </c>
      <c r="P78" s="27">
        <v>1.9060000000000001E-2</v>
      </c>
      <c r="Q78" s="27">
        <v>0.84</v>
      </c>
      <c r="R78" s="27">
        <v>3.6999999999999998E-2</v>
      </c>
      <c r="S78" s="27">
        <v>1.7999999999999999E-2</v>
      </c>
      <c r="T78" s="18">
        <v>2.5000000000000001E-2</v>
      </c>
      <c r="U78" s="18">
        <v>5.5E-2</v>
      </c>
      <c r="V78" s="18">
        <v>2.5000000000000001E-2</v>
      </c>
      <c r="W78" s="28">
        <v>78</v>
      </c>
      <c r="X78" s="18">
        <v>0.78285714285714281</v>
      </c>
      <c r="Y78" s="28">
        <v>137</v>
      </c>
      <c r="Z78" s="18">
        <v>3.4000000000000002E-2</v>
      </c>
      <c r="AA78" s="18">
        <v>1.7000000000000001E-2</v>
      </c>
      <c r="AB78" s="18">
        <v>2.3E-2</v>
      </c>
      <c r="AC78" s="18">
        <v>5.0999999999999997E-2</v>
      </c>
      <c r="AD78" s="27">
        <f t="shared" si="13"/>
        <v>6.8000000000000005E-2</v>
      </c>
      <c r="AE78" s="18">
        <v>2.3E-2</v>
      </c>
      <c r="AF78" s="1" t="s">
        <v>167</v>
      </c>
      <c r="AG78" s="1" t="s">
        <v>130</v>
      </c>
      <c r="AH78" s="1" t="s">
        <v>131</v>
      </c>
      <c r="AI78" s="1">
        <v>12</v>
      </c>
      <c r="AJ78" s="28">
        <v>59</v>
      </c>
      <c r="AK78" s="1">
        <v>9</v>
      </c>
      <c r="AL78" s="1" t="s">
        <v>132</v>
      </c>
      <c r="AM78" s="1">
        <v>167</v>
      </c>
      <c r="AN78" s="1">
        <v>95</v>
      </c>
      <c r="AO78" s="1">
        <v>45</v>
      </c>
      <c r="AP78" s="1">
        <v>75</v>
      </c>
      <c r="AQ78" s="1">
        <v>36</v>
      </c>
      <c r="AR78" s="1">
        <v>90</v>
      </c>
      <c r="AS78" s="1">
        <v>33</v>
      </c>
      <c r="AT78" s="1">
        <v>83</v>
      </c>
      <c r="AU78" s="1">
        <v>71</v>
      </c>
      <c r="AV78" s="1">
        <v>89</v>
      </c>
      <c r="AW78" s="1">
        <v>66</v>
      </c>
      <c r="AX78" s="1">
        <v>83</v>
      </c>
      <c r="AY78" s="30">
        <f t="shared" si="10"/>
        <v>2.1806933731828062</v>
      </c>
      <c r="AZ78" s="31">
        <f t="shared" si="12"/>
        <v>2.1395007944282836</v>
      </c>
      <c r="BA78" s="1">
        <v>20</v>
      </c>
      <c r="BB78" s="52">
        <v>67</v>
      </c>
      <c r="BC78" s="1">
        <v>11</v>
      </c>
      <c r="BD78" s="52">
        <v>73</v>
      </c>
      <c r="BE78" s="1">
        <v>9</v>
      </c>
      <c r="BF78" s="52">
        <v>60</v>
      </c>
      <c r="BG78" s="1">
        <v>25</v>
      </c>
      <c r="BH78" s="52">
        <v>83</v>
      </c>
      <c r="BI78" s="1">
        <v>29</v>
      </c>
      <c r="BJ78" s="3">
        <v>97</v>
      </c>
      <c r="BK78" s="1">
        <v>39</v>
      </c>
      <c r="BL78" s="1">
        <v>61</v>
      </c>
      <c r="BM78" s="1">
        <v>139</v>
      </c>
      <c r="BN78" s="28">
        <v>72</v>
      </c>
      <c r="BO78" s="21">
        <f t="shared" si="11"/>
        <v>68.137254901960787</v>
      </c>
      <c r="BP78" s="1">
        <v>37</v>
      </c>
      <c r="BQ78" s="1">
        <v>71</v>
      </c>
      <c r="BR78" s="23" t="s">
        <v>133</v>
      </c>
      <c r="BS78" s="3">
        <v>4.8</v>
      </c>
      <c r="BT78" s="1">
        <v>28</v>
      </c>
      <c r="BU78" s="52">
        <v>70</v>
      </c>
      <c r="BV78" s="3">
        <v>0.5</v>
      </c>
      <c r="BW78" s="1">
        <v>39</v>
      </c>
      <c r="BX78" s="3">
        <v>98</v>
      </c>
      <c r="BY78" s="3">
        <v>3.4</v>
      </c>
      <c r="BZ78" s="23" t="s">
        <v>134</v>
      </c>
      <c r="CA78" s="23" t="s">
        <v>134</v>
      </c>
      <c r="CB78" s="197" t="s">
        <v>242</v>
      </c>
      <c r="CC78" s="197" t="s">
        <v>242</v>
      </c>
      <c r="CD78" s="3" t="s">
        <v>165</v>
      </c>
      <c r="CE78" s="3" t="s">
        <v>165</v>
      </c>
      <c r="CF78" s="3" t="s">
        <v>165</v>
      </c>
      <c r="CG78" s="1">
        <v>100</v>
      </c>
      <c r="CH78" s="1" t="s">
        <v>129</v>
      </c>
      <c r="CI78" s="3" t="s">
        <v>188</v>
      </c>
      <c r="CJ78" s="13"/>
      <c r="CK78" s="13"/>
      <c r="CL78" s="1" t="s">
        <v>138</v>
      </c>
      <c r="CM78" s="3" t="s">
        <v>137</v>
      </c>
      <c r="CN78" s="3" t="s">
        <v>188</v>
      </c>
      <c r="CO78" s="13"/>
      <c r="CP78" s="13"/>
      <c r="CQ78" s="13"/>
      <c r="CR78" s="1" t="s">
        <v>138</v>
      </c>
      <c r="CS78" s="1" t="s">
        <v>138</v>
      </c>
      <c r="CT78" s="1" t="s">
        <v>138</v>
      </c>
      <c r="CU78" s="1" t="s">
        <v>138</v>
      </c>
      <c r="CV78" s="1" t="s">
        <v>138</v>
      </c>
      <c r="CW78" s="1" t="s">
        <v>138</v>
      </c>
      <c r="DJ78" s="3"/>
    </row>
    <row r="79" spans="1:192" ht="60">
      <c r="A79" s="190">
        <v>20058</v>
      </c>
      <c r="B79" s="23" t="s">
        <v>220</v>
      </c>
      <c r="C79" s="1">
        <v>87.4</v>
      </c>
      <c r="D79" s="1">
        <v>9</v>
      </c>
      <c r="E79" s="1">
        <v>9</v>
      </c>
      <c r="F79" s="1">
        <v>18</v>
      </c>
      <c r="G79" s="1">
        <v>9.6</v>
      </c>
      <c r="H79" s="1">
        <v>8</v>
      </c>
      <c r="I79" s="1">
        <v>8.1</v>
      </c>
      <c r="J79" s="1" t="s">
        <v>128</v>
      </c>
      <c r="K79" s="27">
        <v>2.5180000000000001E-2</v>
      </c>
      <c r="L79" s="27">
        <v>5.3999999999999999E-2</v>
      </c>
      <c r="M79" s="27">
        <v>1.0500000000000001E-2</v>
      </c>
      <c r="N79" s="27">
        <v>2.5180000000000001E-2</v>
      </c>
      <c r="O79" s="27">
        <v>5.3999999999999999E-2</v>
      </c>
      <c r="P79" s="27">
        <v>1.0500000000000001E-2</v>
      </c>
      <c r="Q79" s="27">
        <v>0.92200000000000004</v>
      </c>
      <c r="R79" s="27">
        <v>3.5000000000000003E-2</v>
      </c>
      <c r="S79" s="27">
        <v>0</v>
      </c>
      <c r="T79" s="27">
        <v>3.5000000000000003E-2</v>
      </c>
      <c r="U79" s="27">
        <v>0</v>
      </c>
      <c r="V79" s="27">
        <v>7.0000000000000001E-3</v>
      </c>
      <c r="W79" s="28">
        <v>74</v>
      </c>
      <c r="X79" s="27">
        <v>0.73699999999999999</v>
      </c>
      <c r="Y79" s="52">
        <v>129</v>
      </c>
      <c r="Z79" s="27">
        <v>2.9000000000000001E-2</v>
      </c>
      <c r="AA79" s="27">
        <v>0</v>
      </c>
      <c r="AB79" s="18">
        <v>2.9000000000000001E-2</v>
      </c>
      <c r="AC79" s="18">
        <v>0</v>
      </c>
      <c r="AD79" s="27">
        <f t="shared" si="13"/>
        <v>0</v>
      </c>
      <c r="AE79" s="18">
        <v>6.0000000000000001E-3</v>
      </c>
      <c r="AF79" s="1" t="s">
        <v>129</v>
      </c>
      <c r="AG79" s="1" t="s">
        <v>130</v>
      </c>
      <c r="AH79" s="1" t="s">
        <v>146</v>
      </c>
      <c r="AI79" s="1">
        <v>14</v>
      </c>
      <c r="AJ79" s="1">
        <v>41</v>
      </c>
      <c r="AK79" s="1">
        <v>14</v>
      </c>
      <c r="AL79" s="1" t="s">
        <v>132</v>
      </c>
      <c r="AM79" s="108">
        <v>175</v>
      </c>
      <c r="AN79" s="1">
        <v>100</v>
      </c>
      <c r="AO79" s="1">
        <v>50</v>
      </c>
      <c r="AP79" s="3">
        <v>83</v>
      </c>
      <c r="AQ79" s="1">
        <v>40</v>
      </c>
      <c r="AR79" s="1">
        <v>100</v>
      </c>
      <c r="AS79" s="1">
        <v>40</v>
      </c>
      <c r="AT79" s="1">
        <v>100</v>
      </c>
      <c r="AU79" s="1">
        <v>76</v>
      </c>
      <c r="AV79" s="1">
        <v>95</v>
      </c>
      <c r="AW79" s="1">
        <v>78</v>
      </c>
      <c r="AX79" s="1">
        <v>98</v>
      </c>
      <c r="AY79" s="30">
        <f t="shared" si="10"/>
        <v>3.6986025375832936</v>
      </c>
      <c r="AZ79" s="31">
        <f t="shared" si="12"/>
        <v>3.5375804947518539</v>
      </c>
      <c r="BA79" s="1">
        <v>29</v>
      </c>
      <c r="BB79" s="1">
        <v>97</v>
      </c>
      <c r="BC79" s="1">
        <v>15</v>
      </c>
      <c r="BD79" s="1">
        <v>100</v>
      </c>
      <c r="BE79" s="1">
        <v>14</v>
      </c>
      <c r="BF79" s="1">
        <v>93</v>
      </c>
      <c r="BG79" s="1">
        <v>30</v>
      </c>
      <c r="BH79" s="1">
        <v>100</v>
      </c>
      <c r="BI79" s="1">
        <v>30</v>
      </c>
      <c r="BJ79" s="1">
        <v>100</v>
      </c>
      <c r="BK79" s="108">
        <v>52</v>
      </c>
      <c r="BL79" s="3">
        <v>81</v>
      </c>
      <c r="BM79" s="1">
        <v>187</v>
      </c>
      <c r="BN79" s="3">
        <v>100</v>
      </c>
      <c r="BO79" s="21">
        <f t="shared" si="11"/>
        <v>91.666666666666657</v>
      </c>
      <c r="BP79" s="1">
        <v>51</v>
      </c>
      <c r="BQ79" s="3">
        <v>98</v>
      </c>
      <c r="BR79" s="23" t="s">
        <v>133</v>
      </c>
      <c r="BS79" s="3">
        <v>3.2</v>
      </c>
      <c r="BT79" s="1">
        <v>40</v>
      </c>
      <c r="BU79" s="3">
        <v>100</v>
      </c>
      <c r="BV79" s="3">
        <v>3.76</v>
      </c>
      <c r="BW79" s="1">
        <v>40</v>
      </c>
      <c r="BX79" s="3">
        <v>100</v>
      </c>
      <c r="BY79" s="3">
        <v>3.62</v>
      </c>
      <c r="BZ79" s="3" t="s">
        <v>134</v>
      </c>
      <c r="CA79" s="3" t="s">
        <v>134</v>
      </c>
      <c r="CB79" s="136" t="s">
        <v>243</v>
      </c>
      <c r="CC79" s="34">
        <v>0</v>
      </c>
      <c r="CD79" s="3">
        <v>96</v>
      </c>
      <c r="CE79" s="3">
        <v>96</v>
      </c>
      <c r="CF79" s="3">
        <v>98</v>
      </c>
      <c r="CG79" s="1">
        <v>100</v>
      </c>
      <c r="CH79" s="1" t="s">
        <v>135</v>
      </c>
      <c r="CI79" s="3" t="s">
        <v>188</v>
      </c>
      <c r="CJ79" s="13"/>
      <c r="CK79" s="13"/>
      <c r="CL79" s="1" t="s">
        <v>138</v>
      </c>
      <c r="CM79" s="3" t="s">
        <v>168</v>
      </c>
      <c r="CN79" s="3" t="s">
        <v>188</v>
      </c>
      <c r="CO79" s="13"/>
      <c r="CP79" s="13"/>
      <c r="CQ79" s="13"/>
      <c r="CR79" s="1" t="s">
        <v>138</v>
      </c>
      <c r="CS79" s="1" t="s">
        <v>138</v>
      </c>
      <c r="CT79" s="1" t="s">
        <v>138</v>
      </c>
      <c r="CU79" s="1" t="s">
        <v>138</v>
      </c>
      <c r="CV79" s="1" t="s">
        <v>138</v>
      </c>
      <c r="CW79" s="1" t="s">
        <v>138</v>
      </c>
      <c r="DJ79" s="3"/>
    </row>
    <row r="80" spans="1:192" ht="60">
      <c r="A80" s="190">
        <v>20059</v>
      </c>
      <c r="B80" s="23" t="s">
        <v>166</v>
      </c>
      <c r="C80" s="1">
        <v>93.2</v>
      </c>
      <c r="D80" s="1">
        <v>10</v>
      </c>
      <c r="E80" s="1">
        <v>9</v>
      </c>
      <c r="F80" s="1">
        <v>19</v>
      </c>
      <c r="G80" s="1">
        <v>9.3000000000000007</v>
      </c>
      <c r="H80" s="1">
        <v>9.6999999999999993</v>
      </c>
      <c r="I80" s="1">
        <v>8.6</v>
      </c>
      <c r="J80" s="1" t="s">
        <v>128</v>
      </c>
      <c r="K80" s="26">
        <v>3.7999999999999999E-2</v>
      </c>
      <c r="L80" s="26">
        <v>2.3E-2</v>
      </c>
      <c r="M80" s="26">
        <v>7.3299999999999997E-3</v>
      </c>
      <c r="N80" s="27">
        <v>3.7999999999999999E-2</v>
      </c>
      <c r="O80" s="27">
        <v>2.3E-2</v>
      </c>
      <c r="P80" s="27">
        <v>7.3299999999999997E-3</v>
      </c>
      <c r="Q80" s="27">
        <v>0.93500000000000005</v>
      </c>
      <c r="R80" s="27">
        <v>1.2E-2</v>
      </c>
      <c r="S80" s="27">
        <v>1.2E-2</v>
      </c>
      <c r="T80" s="27">
        <v>1.2E-2</v>
      </c>
      <c r="U80" s="27">
        <v>2.9000000000000001E-2</v>
      </c>
      <c r="V80" s="27">
        <v>0</v>
      </c>
      <c r="W80" s="28">
        <v>91</v>
      </c>
      <c r="X80" s="18">
        <v>0.90857142857142859</v>
      </c>
      <c r="Y80" s="28">
        <v>159</v>
      </c>
      <c r="Z80" s="18">
        <v>1.0999999999999999E-2</v>
      </c>
      <c r="AA80" s="18">
        <v>1.0999999999999999E-2</v>
      </c>
      <c r="AB80" s="18">
        <v>1.0999999999999999E-2</v>
      </c>
      <c r="AC80" s="18">
        <v>2.9000000000000001E-2</v>
      </c>
      <c r="AD80" s="27">
        <f t="shared" si="13"/>
        <v>0.04</v>
      </c>
      <c r="AE80" s="18">
        <v>0</v>
      </c>
      <c r="AF80" s="1" t="s">
        <v>129</v>
      </c>
      <c r="AG80" s="1" t="s">
        <v>130</v>
      </c>
      <c r="AH80" s="1" t="s">
        <v>131</v>
      </c>
      <c r="AI80" s="1">
        <v>12</v>
      </c>
      <c r="AJ80" s="1">
        <v>69</v>
      </c>
      <c r="AK80" s="1">
        <v>6</v>
      </c>
      <c r="AL80" s="1" t="s">
        <v>132</v>
      </c>
      <c r="AM80" s="1">
        <v>168</v>
      </c>
      <c r="AN80" s="1">
        <v>96</v>
      </c>
      <c r="AO80" s="1">
        <v>41</v>
      </c>
      <c r="AP80" s="3">
        <v>68</v>
      </c>
      <c r="AQ80" s="1">
        <v>39</v>
      </c>
      <c r="AR80" s="1">
        <v>98</v>
      </c>
      <c r="AS80" s="1">
        <v>38</v>
      </c>
      <c r="AT80" s="1">
        <v>95</v>
      </c>
      <c r="AU80" s="1">
        <v>75</v>
      </c>
      <c r="AV80" s="1">
        <v>95</v>
      </c>
      <c r="AW80" s="1">
        <v>72</v>
      </c>
      <c r="AX80" s="1">
        <v>90</v>
      </c>
      <c r="AY80" s="30">
        <f t="shared" si="10"/>
        <v>2.9264051924960723</v>
      </c>
      <c r="AZ80" s="31">
        <f t="shared" si="12"/>
        <v>2.8471238021967586</v>
      </c>
      <c r="BA80" s="1">
        <v>29</v>
      </c>
      <c r="BB80" s="1">
        <v>97</v>
      </c>
      <c r="BC80" s="1">
        <v>14</v>
      </c>
      <c r="BD80" s="1">
        <v>93</v>
      </c>
      <c r="BE80" s="1">
        <v>15</v>
      </c>
      <c r="BF80" s="1">
        <v>100</v>
      </c>
      <c r="BG80" s="1">
        <v>26</v>
      </c>
      <c r="BH80" s="1">
        <v>87</v>
      </c>
      <c r="BI80" s="1">
        <v>30</v>
      </c>
      <c r="BJ80" s="1">
        <v>100</v>
      </c>
      <c r="BK80" s="1">
        <v>52</v>
      </c>
      <c r="BL80" s="3">
        <v>81</v>
      </c>
      <c r="BM80" s="1">
        <v>154</v>
      </c>
      <c r="BN80" s="3">
        <v>79</v>
      </c>
      <c r="BO80" s="21">
        <f t="shared" si="11"/>
        <v>75.490196078431367</v>
      </c>
      <c r="BP80" s="1">
        <v>46</v>
      </c>
      <c r="BQ80" s="3">
        <v>88</v>
      </c>
      <c r="BR80" s="23" t="s">
        <v>133</v>
      </c>
      <c r="BS80" s="3">
        <v>4.2</v>
      </c>
      <c r="BT80" s="1">
        <v>37</v>
      </c>
      <c r="BU80" s="3">
        <v>93</v>
      </c>
      <c r="BV80" s="3">
        <v>1.8</v>
      </c>
      <c r="BW80" s="1">
        <v>39</v>
      </c>
      <c r="BX80" s="3">
        <v>98</v>
      </c>
      <c r="BY80" s="3">
        <v>6.8</v>
      </c>
      <c r="BZ80" s="23" t="s">
        <v>134</v>
      </c>
      <c r="CA80" s="23" t="s">
        <v>134</v>
      </c>
      <c r="CB80" s="33">
        <v>2</v>
      </c>
      <c r="CC80" s="34">
        <v>1.1428571428571429E-2</v>
      </c>
      <c r="CD80" s="3" t="s">
        <v>165</v>
      </c>
      <c r="CE80" s="3" t="s">
        <v>165</v>
      </c>
      <c r="CF80" s="3" t="s">
        <v>165</v>
      </c>
      <c r="CG80" s="1">
        <v>100</v>
      </c>
      <c r="CH80" s="1" t="s">
        <v>140</v>
      </c>
      <c r="CI80" s="3" t="s">
        <v>188</v>
      </c>
      <c r="CJ80" s="13"/>
      <c r="CK80" s="13"/>
      <c r="CM80" s="3" t="s">
        <v>218</v>
      </c>
      <c r="CN80" s="3" t="s">
        <v>188</v>
      </c>
      <c r="CO80" s="13"/>
      <c r="CP80" s="13"/>
      <c r="CQ80" s="13"/>
      <c r="CR80" s="1" t="s">
        <v>138</v>
      </c>
      <c r="CS80" s="1" t="s">
        <v>138</v>
      </c>
      <c r="CT80" s="1" t="s">
        <v>138</v>
      </c>
      <c r="CU80" s="1" t="s">
        <v>138</v>
      </c>
      <c r="CV80" s="1" t="s">
        <v>138</v>
      </c>
      <c r="CW80" s="1" t="s">
        <v>138</v>
      </c>
      <c r="DJ80" s="3"/>
      <c r="DV80" s="26">
        <v>2.3E-2</v>
      </c>
      <c r="DW80" s="26">
        <v>2.9000000000000001E-2</v>
      </c>
      <c r="DX80" s="26">
        <v>2.9000000000000001E-2</v>
      </c>
      <c r="DY80" s="26">
        <v>0.154</v>
      </c>
      <c r="DZ80" s="26">
        <v>0.183</v>
      </c>
    </row>
    <row r="81" spans="1:192" ht="60">
      <c r="A81" s="190">
        <v>20060</v>
      </c>
      <c r="B81" s="23" t="s">
        <v>166</v>
      </c>
      <c r="C81" s="1">
        <v>55.6</v>
      </c>
      <c r="D81" s="1">
        <v>4</v>
      </c>
      <c r="E81" s="1">
        <v>7</v>
      </c>
      <c r="F81" s="1">
        <v>11</v>
      </c>
      <c r="G81" s="1">
        <v>8.3000000000000007</v>
      </c>
      <c r="H81" s="1">
        <v>5.3</v>
      </c>
      <c r="I81" s="1">
        <v>3.2</v>
      </c>
      <c r="J81" s="1" t="s">
        <v>145</v>
      </c>
      <c r="K81" s="26">
        <v>5.47E-3</v>
      </c>
      <c r="L81" s="26">
        <v>2.4799999999999999E-2</v>
      </c>
      <c r="M81" s="26">
        <v>2.989E-2</v>
      </c>
      <c r="N81" s="27">
        <v>5.47E-3</v>
      </c>
      <c r="O81" s="27">
        <v>2.4799999999999999E-2</v>
      </c>
      <c r="P81" s="27">
        <v>2.989E-2</v>
      </c>
      <c r="Q81" s="27">
        <v>0.308</v>
      </c>
      <c r="R81" s="27">
        <v>0.10299999999999999</v>
      </c>
      <c r="S81" s="27">
        <v>0.17899999999999999</v>
      </c>
      <c r="T81" s="27">
        <v>5.0999999999999997E-2</v>
      </c>
      <c r="U81" s="27">
        <v>0.10299999999999999</v>
      </c>
      <c r="V81" s="27">
        <v>0.25600000000000001</v>
      </c>
      <c r="W81" s="28">
        <v>7</v>
      </c>
      <c r="X81" s="18">
        <v>6.8571428571428575E-2</v>
      </c>
      <c r="Y81" s="28">
        <v>12</v>
      </c>
      <c r="Z81" s="18">
        <v>2.3E-2</v>
      </c>
      <c r="AA81" s="18">
        <v>0.04</v>
      </c>
      <c r="AB81" s="18">
        <v>1.0999999999999999E-2</v>
      </c>
      <c r="AC81" s="18">
        <v>2.3E-2</v>
      </c>
      <c r="AD81" s="27">
        <f t="shared" si="13"/>
        <v>6.3E-2</v>
      </c>
      <c r="AE81" s="18">
        <v>5.7000000000000002E-2</v>
      </c>
      <c r="AF81" s="1" t="s">
        <v>129</v>
      </c>
      <c r="AG81" s="1" t="s">
        <v>130</v>
      </c>
      <c r="AH81" s="1" t="s">
        <v>244</v>
      </c>
      <c r="AI81" s="1">
        <v>12</v>
      </c>
      <c r="AJ81" s="1">
        <v>55</v>
      </c>
      <c r="AK81" s="1">
        <v>19</v>
      </c>
      <c r="AL81" s="1" t="s">
        <v>245</v>
      </c>
      <c r="AM81" s="1">
        <v>141</v>
      </c>
      <c r="AN81" s="1">
        <v>81</v>
      </c>
      <c r="AO81" s="1">
        <v>20</v>
      </c>
      <c r="AP81" s="3">
        <v>33</v>
      </c>
      <c r="AQ81" s="1">
        <v>33</v>
      </c>
      <c r="AR81" s="1">
        <v>83</v>
      </c>
      <c r="AS81" s="1">
        <v>29</v>
      </c>
      <c r="AT81" s="1">
        <v>73</v>
      </c>
      <c r="AU81" s="1">
        <v>59</v>
      </c>
      <c r="AV81" s="1">
        <v>74</v>
      </c>
      <c r="AW81" s="1">
        <v>71</v>
      </c>
      <c r="AX81" s="1">
        <v>89</v>
      </c>
      <c r="AY81" s="30">
        <f t="shared" si="10"/>
        <v>1.8698735254295276</v>
      </c>
      <c r="AZ81" s="31">
        <f t="shared" si="12"/>
        <v>1.8355508290958928</v>
      </c>
      <c r="BA81" s="1">
        <v>22</v>
      </c>
      <c r="BB81" s="1">
        <v>73</v>
      </c>
      <c r="BC81" s="1">
        <v>11</v>
      </c>
      <c r="BD81" s="1">
        <v>73</v>
      </c>
      <c r="BE81" s="1">
        <v>11</v>
      </c>
      <c r="BF81" s="1">
        <v>73</v>
      </c>
      <c r="BG81" s="1">
        <v>25</v>
      </c>
      <c r="BH81" s="1">
        <v>73</v>
      </c>
      <c r="BI81" s="1">
        <v>28</v>
      </c>
      <c r="BJ81" s="1">
        <v>93</v>
      </c>
      <c r="BK81" s="1">
        <v>45</v>
      </c>
      <c r="BL81" s="3">
        <v>70</v>
      </c>
      <c r="BM81" s="1">
        <v>100</v>
      </c>
      <c r="BN81" s="3">
        <v>40</v>
      </c>
      <c r="BO81" s="21">
        <f t="shared" si="11"/>
        <v>49.019607843137251</v>
      </c>
      <c r="BP81" s="1">
        <v>46</v>
      </c>
      <c r="BQ81" s="3">
        <v>88</v>
      </c>
      <c r="BR81" s="23" t="s">
        <v>185</v>
      </c>
      <c r="BS81" s="3">
        <v>1.4</v>
      </c>
      <c r="BT81" s="1">
        <v>30</v>
      </c>
      <c r="BU81" s="3">
        <v>75</v>
      </c>
      <c r="BV81" s="3">
        <v>1</v>
      </c>
      <c r="BW81" s="1">
        <v>28</v>
      </c>
      <c r="BX81" s="3">
        <v>70</v>
      </c>
      <c r="BY81" s="3">
        <v>2</v>
      </c>
      <c r="BZ81" s="23" t="s">
        <v>194</v>
      </c>
      <c r="CA81" s="23" t="s">
        <v>147</v>
      </c>
      <c r="CB81" s="33">
        <v>5</v>
      </c>
      <c r="CC81" s="34">
        <v>2.8571428571428571E-2</v>
      </c>
      <c r="CD81" s="3" t="s">
        <v>165</v>
      </c>
      <c r="CE81" s="3" t="s">
        <v>165</v>
      </c>
      <c r="CF81" s="3" t="s">
        <v>165</v>
      </c>
      <c r="CG81" s="1">
        <v>100</v>
      </c>
      <c r="CH81" s="1" t="s">
        <v>153</v>
      </c>
      <c r="CI81" s="3" t="s">
        <v>188</v>
      </c>
      <c r="CJ81" s="13"/>
      <c r="CK81" s="13"/>
      <c r="CL81" s="1" t="s">
        <v>138</v>
      </c>
      <c r="CM81" s="3" t="s">
        <v>137</v>
      </c>
      <c r="CN81" s="3" t="s">
        <v>188</v>
      </c>
      <c r="CO81" s="13"/>
      <c r="CP81" s="13"/>
      <c r="CQ81" s="13"/>
      <c r="CR81" s="1" t="s">
        <v>138</v>
      </c>
      <c r="CS81" s="1" t="s">
        <v>138</v>
      </c>
      <c r="CT81" s="1" t="s">
        <v>138</v>
      </c>
      <c r="CU81" s="1" t="s">
        <v>138</v>
      </c>
      <c r="CV81" s="1" t="s">
        <v>138</v>
      </c>
      <c r="CW81" s="1" t="s">
        <v>138</v>
      </c>
      <c r="DJ81" s="3"/>
      <c r="DV81" s="26">
        <v>6.0000000000000001E-3</v>
      </c>
      <c r="DW81" s="26">
        <v>1.0999999999999999E-2</v>
      </c>
      <c r="DX81" s="26">
        <v>1.0999999999999999E-2</v>
      </c>
      <c r="DY81" s="26">
        <v>8.5999999999999993E-2</v>
      </c>
      <c r="DZ81" s="26">
        <v>9.7000000000000003E-2</v>
      </c>
    </row>
    <row r="82" spans="1:192" s="13" customFormat="1" ht="60">
      <c r="A82" s="190">
        <v>20061</v>
      </c>
      <c r="B82" s="23" t="s">
        <v>166</v>
      </c>
      <c r="C82" s="1">
        <v>62.8</v>
      </c>
      <c r="D82" s="1">
        <v>7</v>
      </c>
      <c r="E82" s="1">
        <v>4</v>
      </c>
      <c r="F82" s="1">
        <v>11</v>
      </c>
      <c r="G82" s="1">
        <v>8</v>
      </c>
      <c r="H82" s="1">
        <v>5.0999999999999996</v>
      </c>
      <c r="I82" s="15">
        <v>7.3</v>
      </c>
      <c r="J82" s="1" t="s">
        <v>210</v>
      </c>
      <c r="K82" s="26">
        <v>2.249E-2</v>
      </c>
      <c r="L82" s="26">
        <v>2.3220000000000001E-2</v>
      </c>
      <c r="M82" s="26">
        <v>9.6699999999999998E-3</v>
      </c>
      <c r="N82" s="27">
        <v>2.249E-2</v>
      </c>
      <c r="O82" s="27">
        <v>2.3220000000000001E-2</v>
      </c>
      <c r="P82" s="27">
        <v>9.6699999999999998E-3</v>
      </c>
      <c r="Q82" s="27">
        <v>0.752</v>
      </c>
      <c r="R82" s="27">
        <v>8.1000000000000003E-2</v>
      </c>
      <c r="S82" s="27">
        <v>4.2999999999999997E-2</v>
      </c>
      <c r="T82" s="27">
        <v>3.1E-2</v>
      </c>
      <c r="U82" s="27">
        <v>8.6999999999999994E-2</v>
      </c>
      <c r="V82" s="27">
        <v>6.0000000000000001E-3</v>
      </c>
      <c r="W82" s="28">
        <v>70</v>
      </c>
      <c r="X82" s="18">
        <v>0.69714285714285718</v>
      </c>
      <c r="Y82" s="28">
        <v>122</v>
      </c>
      <c r="Z82" s="18">
        <v>7.3999999999999996E-2</v>
      </c>
      <c r="AA82" s="18">
        <v>0.04</v>
      </c>
      <c r="AB82" s="18">
        <v>2.9000000000000001E-2</v>
      </c>
      <c r="AC82" s="18">
        <v>0.08</v>
      </c>
      <c r="AD82" s="27">
        <f t="shared" si="13"/>
        <v>0.12</v>
      </c>
      <c r="AE82" s="18">
        <v>6.0000000000000001E-3</v>
      </c>
      <c r="AF82" s="1" t="s">
        <v>167</v>
      </c>
      <c r="AG82" s="1" t="s">
        <v>130</v>
      </c>
      <c r="AH82" s="1" t="s">
        <v>146</v>
      </c>
      <c r="AI82" s="1">
        <v>18</v>
      </c>
      <c r="AJ82" s="1">
        <v>51</v>
      </c>
      <c r="AK82" s="1">
        <f>12+7</f>
        <v>19</v>
      </c>
      <c r="AL82" s="1" t="s">
        <v>132</v>
      </c>
      <c r="AM82" s="1">
        <v>168</v>
      </c>
      <c r="AN82" s="1">
        <v>96</v>
      </c>
      <c r="AO82" s="1">
        <v>52</v>
      </c>
      <c r="AP82" s="3">
        <v>87</v>
      </c>
      <c r="AQ82" s="1">
        <v>39</v>
      </c>
      <c r="AR82" s="1">
        <v>98</v>
      </c>
      <c r="AS82" s="1">
        <v>31</v>
      </c>
      <c r="AT82" s="1">
        <v>78</v>
      </c>
      <c r="AU82" s="1">
        <v>77</v>
      </c>
      <c r="AV82" s="1">
        <v>96</v>
      </c>
      <c r="AW82" s="1">
        <v>73</v>
      </c>
      <c r="AX82" s="1">
        <v>91</v>
      </c>
      <c r="AY82" s="30">
        <f t="shared" si="10"/>
        <v>3.0914411049423856</v>
      </c>
      <c r="AZ82" s="31">
        <f t="shared" si="12"/>
        <v>2.998491209362748</v>
      </c>
      <c r="BA82" s="1">
        <v>23</v>
      </c>
      <c r="BB82" s="1">
        <v>77</v>
      </c>
      <c r="BC82" s="1">
        <v>14</v>
      </c>
      <c r="BD82" s="1">
        <v>93</v>
      </c>
      <c r="BE82" s="1">
        <v>9</v>
      </c>
      <c r="BF82" s="1">
        <v>60</v>
      </c>
      <c r="BG82" s="1">
        <v>19</v>
      </c>
      <c r="BH82" s="1">
        <v>63</v>
      </c>
      <c r="BI82" s="1">
        <v>25</v>
      </c>
      <c r="BJ82" s="1">
        <v>83</v>
      </c>
      <c r="BK82" s="1">
        <v>55</v>
      </c>
      <c r="BL82" s="3">
        <v>86</v>
      </c>
      <c r="BM82" s="1">
        <v>182</v>
      </c>
      <c r="BN82" s="3">
        <v>93</v>
      </c>
      <c r="BO82" s="21">
        <f t="shared" si="11"/>
        <v>89.215686274509807</v>
      </c>
      <c r="BP82" s="1">
        <v>44</v>
      </c>
      <c r="BQ82" s="3">
        <v>85</v>
      </c>
      <c r="BR82" s="23" t="s">
        <v>185</v>
      </c>
      <c r="BS82" s="3">
        <v>1.8</v>
      </c>
      <c r="BT82" s="1">
        <v>36</v>
      </c>
      <c r="BU82" s="3">
        <v>90</v>
      </c>
      <c r="BV82" s="3">
        <v>1.75</v>
      </c>
      <c r="BW82" s="1">
        <v>38</v>
      </c>
      <c r="BX82" s="3">
        <v>95</v>
      </c>
      <c r="BY82" s="3">
        <v>3.4</v>
      </c>
      <c r="BZ82" s="23" t="s">
        <v>170</v>
      </c>
      <c r="CA82" s="23" t="s">
        <v>147</v>
      </c>
      <c r="CB82" s="33">
        <v>6</v>
      </c>
      <c r="CC82" s="34">
        <v>3.4285714285714287E-2</v>
      </c>
      <c r="CD82" s="3">
        <v>91</v>
      </c>
      <c r="CE82" s="3">
        <v>92</v>
      </c>
      <c r="CF82" s="3">
        <v>99</v>
      </c>
      <c r="CG82" s="1">
        <v>100</v>
      </c>
      <c r="CH82" s="1" t="s">
        <v>140</v>
      </c>
      <c r="CI82" s="3" t="s">
        <v>136</v>
      </c>
      <c r="CJ82" s="3" t="s">
        <v>136</v>
      </c>
      <c r="CK82" s="3" t="s">
        <v>136</v>
      </c>
      <c r="CL82" s="1"/>
      <c r="CM82" s="3" t="s">
        <v>205</v>
      </c>
      <c r="CN82" s="3" t="s">
        <v>136</v>
      </c>
      <c r="CO82" s="3" t="s">
        <v>136</v>
      </c>
      <c r="CP82" s="3" t="s">
        <v>136</v>
      </c>
      <c r="CQ82" s="3">
        <v>1</v>
      </c>
      <c r="CR82" s="1"/>
      <c r="CS82" s="1" t="s">
        <v>138</v>
      </c>
      <c r="CT82" s="1" t="s">
        <v>138</v>
      </c>
      <c r="CU82" s="1" t="s">
        <v>138</v>
      </c>
      <c r="CV82" s="1" t="s">
        <v>138</v>
      </c>
      <c r="CW82" s="1" t="s">
        <v>138</v>
      </c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5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</row>
    <row r="83" spans="1:192" ht="90">
      <c r="A83" s="190">
        <v>20061</v>
      </c>
      <c r="B83" s="55" t="s">
        <v>150</v>
      </c>
      <c r="C83" s="139">
        <v>55.6</v>
      </c>
      <c r="D83" s="39">
        <v>7</v>
      </c>
      <c r="E83" s="139">
        <v>5</v>
      </c>
      <c r="F83" s="39">
        <v>12</v>
      </c>
      <c r="G83" s="139">
        <v>6.4</v>
      </c>
      <c r="H83" s="139">
        <v>2.4</v>
      </c>
      <c r="I83" s="15">
        <v>7</v>
      </c>
      <c r="J83" s="139" t="s">
        <v>190</v>
      </c>
      <c r="K83" s="140">
        <v>2.6509999999999999E-2</v>
      </c>
      <c r="L83" s="140">
        <v>2.511E-2</v>
      </c>
      <c r="M83" s="140">
        <v>9.8600000000000007E-3</v>
      </c>
      <c r="N83" s="140">
        <v>2.7E-2</v>
      </c>
      <c r="O83" s="140">
        <v>2.5000000000000001E-2</v>
      </c>
      <c r="P83" s="140">
        <v>0.01</v>
      </c>
      <c r="Q83" s="140">
        <v>0.86099999999999999</v>
      </c>
      <c r="R83" s="140">
        <v>5.7000000000000002E-2</v>
      </c>
      <c r="S83" s="140">
        <v>6.0000000000000001E-3</v>
      </c>
      <c r="T83" s="140">
        <v>1.2999999999999999E-2</v>
      </c>
      <c r="U83" s="140">
        <v>5.0999999999999997E-2</v>
      </c>
      <c r="V83" s="140">
        <v>1.2999999999999999E-2</v>
      </c>
      <c r="W83" s="141">
        <v>78</v>
      </c>
      <c r="X83" s="142">
        <v>0.77700000000000002</v>
      </c>
      <c r="Y83" s="43">
        <v>136</v>
      </c>
      <c r="Z83" s="142">
        <v>5.0999999999999997E-2</v>
      </c>
      <c r="AA83" s="142">
        <v>6.0000000000000001E-3</v>
      </c>
      <c r="AB83" s="142">
        <v>1.0999999999999999E-2</v>
      </c>
      <c r="AC83" s="142">
        <v>4.5999999999999999E-2</v>
      </c>
      <c r="AD83" s="140">
        <v>5.1999999999999998E-2</v>
      </c>
      <c r="AE83" s="142">
        <v>1.0999999999999999E-2</v>
      </c>
      <c r="AF83" s="139" t="s">
        <v>167</v>
      </c>
      <c r="AG83" s="139" t="s">
        <v>130</v>
      </c>
      <c r="AH83" s="139" t="s">
        <v>146</v>
      </c>
      <c r="AI83" s="139">
        <v>18</v>
      </c>
      <c r="AJ83" s="139">
        <v>58</v>
      </c>
      <c r="AK83" s="139">
        <v>109</v>
      </c>
      <c r="AL83" s="39" t="s">
        <v>132</v>
      </c>
      <c r="AM83" s="39">
        <v>175</v>
      </c>
      <c r="AN83" s="139">
        <v>100</v>
      </c>
      <c r="AO83" s="39">
        <v>38</v>
      </c>
      <c r="AP83" s="2">
        <v>63</v>
      </c>
      <c r="AQ83" s="39">
        <v>40</v>
      </c>
      <c r="AR83" s="39">
        <v>100</v>
      </c>
      <c r="AS83" s="39">
        <v>36</v>
      </c>
      <c r="AT83" s="39">
        <v>90</v>
      </c>
      <c r="AU83" s="39">
        <v>78</v>
      </c>
      <c r="AV83" s="39">
        <v>98</v>
      </c>
      <c r="AW83" s="39">
        <v>76</v>
      </c>
      <c r="AX83" s="39">
        <v>95</v>
      </c>
      <c r="AY83" s="46">
        <f t="shared" si="10"/>
        <v>3.6986025375832936</v>
      </c>
      <c r="AZ83" s="31">
        <f t="shared" si="12"/>
        <v>3.5375804947518539</v>
      </c>
      <c r="BA83" s="39">
        <v>27</v>
      </c>
      <c r="BB83" s="39">
        <v>90</v>
      </c>
      <c r="BC83" s="39">
        <v>15</v>
      </c>
      <c r="BD83" s="39">
        <v>100</v>
      </c>
      <c r="BE83" s="39">
        <v>12</v>
      </c>
      <c r="BF83" s="39">
        <v>80</v>
      </c>
      <c r="BG83" s="39">
        <v>12</v>
      </c>
      <c r="BH83" s="39">
        <v>40</v>
      </c>
      <c r="BI83" s="39">
        <v>28</v>
      </c>
      <c r="BJ83" s="39">
        <v>93</v>
      </c>
      <c r="BK83" s="39">
        <v>45</v>
      </c>
      <c r="BL83" s="2">
        <v>70</v>
      </c>
      <c r="BM83" s="39">
        <v>178</v>
      </c>
      <c r="BN83" s="2">
        <v>89</v>
      </c>
      <c r="BO83" s="47">
        <f t="shared" si="11"/>
        <v>87.254901960784309</v>
      </c>
      <c r="BP83" s="39">
        <v>45</v>
      </c>
      <c r="BQ83" s="2">
        <v>87</v>
      </c>
      <c r="BR83" s="36" t="s">
        <v>148</v>
      </c>
      <c r="BS83" s="2">
        <v>1.2</v>
      </c>
      <c r="BT83" s="39">
        <v>37</v>
      </c>
      <c r="BU83" s="143">
        <v>93</v>
      </c>
      <c r="BV83" s="143">
        <v>1.1000000000000001</v>
      </c>
      <c r="BW83" s="39">
        <v>39</v>
      </c>
      <c r="BX83" s="143">
        <v>98</v>
      </c>
      <c r="BY83" s="143">
        <v>3</v>
      </c>
      <c r="BZ83" s="36" t="s">
        <v>170</v>
      </c>
      <c r="CA83" s="36" t="s">
        <v>170</v>
      </c>
      <c r="CB83" s="48">
        <v>6</v>
      </c>
      <c r="CC83" s="48">
        <v>3.4000000000000002E-2</v>
      </c>
      <c r="CD83" s="2">
        <v>96</v>
      </c>
      <c r="CE83" s="2">
        <v>96</v>
      </c>
      <c r="CF83" s="2">
        <v>99</v>
      </c>
      <c r="CG83" s="39">
        <v>100</v>
      </c>
      <c r="CH83" s="39" t="s">
        <v>140</v>
      </c>
      <c r="CI83" s="2" t="s">
        <v>136</v>
      </c>
      <c r="CJ83" s="2" t="s">
        <v>141</v>
      </c>
      <c r="CK83" s="2" t="s">
        <v>163</v>
      </c>
      <c r="CL83" s="39"/>
      <c r="CM83" s="2" t="s">
        <v>209</v>
      </c>
      <c r="CN83" s="2" t="s">
        <v>136</v>
      </c>
      <c r="CO83" s="2" t="s">
        <v>141</v>
      </c>
      <c r="CP83" s="2" t="s">
        <v>163</v>
      </c>
      <c r="CQ83" s="2"/>
      <c r="CR83" s="39" t="s">
        <v>246</v>
      </c>
      <c r="CS83" s="2" t="s">
        <v>140</v>
      </c>
      <c r="CT83" s="2" t="s">
        <v>140</v>
      </c>
      <c r="CU83" s="2">
        <v>100</v>
      </c>
      <c r="CV83" s="2">
        <v>100</v>
      </c>
      <c r="CW83" s="2">
        <v>96</v>
      </c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</row>
    <row r="84" spans="1:192" ht="60">
      <c r="A84" s="190">
        <v>20062</v>
      </c>
      <c r="B84" s="23" t="s">
        <v>127</v>
      </c>
      <c r="C84" s="1">
        <v>87</v>
      </c>
      <c r="D84" s="1">
        <v>9</v>
      </c>
      <c r="E84" s="1">
        <v>9</v>
      </c>
      <c r="F84" s="1">
        <v>18</v>
      </c>
      <c r="G84" s="1">
        <v>9.3000000000000007</v>
      </c>
      <c r="H84" s="1">
        <v>7.2</v>
      </c>
      <c r="I84" s="1">
        <v>9</v>
      </c>
      <c r="J84" s="1" t="s">
        <v>128</v>
      </c>
      <c r="K84" s="26">
        <v>3.6450000000000003E-2</v>
      </c>
      <c r="L84" s="26">
        <v>1.8540000000000001E-2</v>
      </c>
      <c r="M84" s="26">
        <v>5.7000000000000002E-3</v>
      </c>
      <c r="N84" s="27">
        <v>3.6450000000000003E-2</v>
      </c>
      <c r="O84" s="27">
        <v>1.8540000000000001E-2</v>
      </c>
      <c r="P84" s="27">
        <v>5.7000000000000002E-3</v>
      </c>
      <c r="Q84" s="27">
        <v>0.85499999999999998</v>
      </c>
      <c r="R84" s="27">
        <v>2.3E-2</v>
      </c>
      <c r="S84" s="27">
        <v>2.3E-2</v>
      </c>
      <c r="T84" s="27">
        <v>0</v>
      </c>
      <c r="U84" s="27">
        <v>9.9000000000000005E-2</v>
      </c>
      <c r="V84" s="27">
        <v>0</v>
      </c>
      <c r="W84" s="28">
        <v>84</v>
      </c>
      <c r="X84" s="18">
        <v>0.84</v>
      </c>
      <c r="Y84" s="28">
        <v>147</v>
      </c>
      <c r="Z84" s="18">
        <v>2.3E-2</v>
      </c>
      <c r="AA84" s="18">
        <v>2.3E-2</v>
      </c>
      <c r="AB84" s="18">
        <v>0</v>
      </c>
      <c r="AC84" s="18">
        <v>9.7000000000000003E-2</v>
      </c>
      <c r="AD84" s="27">
        <f>AC84+AA84</f>
        <v>0.12</v>
      </c>
      <c r="AE84" s="18">
        <v>0</v>
      </c>
      <c r="AF84" s="1" t="s">
        <v>167</v>
      </c>
      <c r="AG84" s="1" t="s">
        <v>130</v>
      </c>
      <c r="AH84" s="1" t="s">
        <v>131</v>
      </c>
      <c r="AI84" s="1">
        <v>12</v>
      </c>
      <c r="AJ84" s="1">
        <v>60</v>
      </c>
      <c r="AK84" s="1">
        <v>24</v>
      </c>
      <c r="AL84" s="1" t="s">
        <v>132</v>
      </c>
      <c r="AM84" s="1">
        <v>145</v>
      </c>
      <c r="AN84" s="1">
        <v>83</v>
      </c>
      <c r="AO84" s="1">
        <v>7</v>
      </c>
      <c r="AP84" s="3">
        <v>12</v>
      </c>
      <c r="AQ84" s="1">
        <v>31</v>
      </c>
      <c r="AR84" s="1">
        <v>78</v>
      </c>
      <c r="AS84" s="1">
        <v>30</v>
      </c>
      <c r="AT84" s="1">
        <v>75</v>
      </c>
      <c r="AU84" s="1">
        <v>71</v>
      </c>
      <c r="AV84" s="1">
        <v>89</v>
      </c>
      <c r="AW84" s="1">
        <v>51</v>
      </c>
      <c r="AX84" s="1">
        <v>64</v>
      </c>
      <c r="AY84" s="30">
        <f t="shared" si="10"/>
        <v>1.5849869132878043</v>
      </c>
      <c r="AZ84" s="31">
        <f t="shared" si="12"/>
        <v>1.5551561384574051</v>
      </c>
      <c r="BA84" s="1">
        <v>29</v>
      </c>
      <c r="BB84" s="1">
        <v>97</v>
      </c>
      <c r="BC84" s="1">
        <v>15</v>
      </c>
      <c r="BD84" s="1">
        <v>100</v>
      </c>
      <c r="BE84" s="1">
        <v>14</v>
      </c>
      <c r="BF84" s="1">
        <v>93</v>
      </c>
      <c r="BG84" s="1">
        <v>22</v>
      </c>
      <c r="BH84" s="1">
        <v>73</v>
      </c>
      <c r="BI84" s="1">
        <v>30</v>
      </c>
      <c r="BJ84" s="1">
        <v>100</v>
      </c>
      <c r="BK84" s="1">
        <v>54</v>
      </c>
      <c r="BL84" s="3">
        <v>84</v>
      </c>
      <c r="BM84" s="1">
        <v>157</v>
      </c>
      <c r="BN84" s="3">
        <v>78</v>
      </c>
      <c r="BO84" s="21">
        <f t="shared" si="11"/>
        <v>76.960784313725497</v>
      </c>
      <c r="BP84" s="1">
        <v>47</v>
      </c>
      <c r="BQ84" s="3">
        <v>90</v>
      </c>
      <c r="BR84" s="53" t="s">
        <v>133</v>
      </c>
      <c r="BS84" s="3">
        <v>2.2000000000000002</v>
      </c>
      <c r="BT84" s="1">
        <v>30</v>
      </c>
      <c r="BU84" s="3">
        <v>75</v>
      </c>
      <c r="BV84" s="3">
        <v>2.19</v>
      </c>
      <c r="BW84" s="1">
        <v>37</v>
      </c>
      <c r="BX84" s="3">
        <v>93</v>
      </c>
      <c r="BY84" s="3">
        <v>3.24</v>
      </c>
      <c r="BZ84" s="23" t="s">
        <v>134</v>
      </c>
      <c r="CA84" s="23" t="s">
        <v>134</v>
      </c>
      <c r="CB84" s="33">
        <v>6</v>
      </c>
      <c r="CC84" s="34">
        <v>3.4285714285714287E-2</v>
      </c>
      <c r="CD84" s="3">
        <v>86</v>
      </c>
      <c r="CE84" s="3">
        <v>93</v>
      </c>
      <c r="CF84" s="3">
        <v>86</v>
      </c>
      <c r="CG84" s="1">
        <v>100</v>
      </c>
      <c r="CH84" s="1" t="s">
        <v>140</v>
      </c>
      <c r="CI84" s="3" t="s">
        <v>188</v>
      </c>
      <c r="CJ84" s="13"/>
      <c r="CK84" s="13"/>
      <c r="CL84" s="1" t="s">
        <v>138</v>
      </c>
      <c r="CM84" s="3" t="s">
        <v>239</v>
      </c>
      <c r="CN84" s="3" t="s">
        <v>188</v>
      </c>
      <c r="CO84" s="13"/>
      <c r="CP84" s="13"/>
      <c r="CQ84" s="13"/>
      <c r="CR84" s="1" t="s">
        <v>138</v>
      </c>
      <c r="CS84" s="1" t="s">
        <v>138</v>
      </c>
      <c r="CT84" s="1" t="s">
        <v>138</v>
      </c>
      <c r="CU84" s="1" t="s">
        <v>138</v>
      </c>
      <c r="CV84" s="1" t="s">
        <v>138</v>
      </c>
      <c r="CW84" s="1" t="s">
        <v>138</v>
      </c>
      <c r="DJ84" s="3"/>
    </row>
    <row r="85" spans="1:192" ht="60">
      <c r="A85" s="190">
        <v>20063</v>
      </c>
      <c r="B85" s="23" t="s">
        <v>166</v>
      </c>
      <c r="C85" s="1">
        <v>56.6</v>
      </c>
      <c r="D85" s="1">
        <v>7</v>
      </c>
      <c r="E85" s="1">
        <v>8</v>
      </c>
      <c r="F85" s="1">
        <v>15</v>
      </c>
      <c r="G85" s="1">
        <v>5.85</v>
      </c>
      <c r="H85" s="1">
        <v>3.7</v>
      </c>
      <c r="I85" s="1">
        <v>3.7</v>
      </c>
      <c r="J85" s="1" t="s">
        <v>241</v>
      </c>
      <c r="K85" s="26">
        <v>9.8099999999999993E-3</v>
      </c>
      <c r="L85" s="26">
        <v>1.6219999999999998E-2</v>
      </c>
      <c r="M85" s="26">
        <v>1.5720000000000001E-2</v>
      </c>
      <c r="N85" s="27">
        <v>9.8099999999999993E-3</v>
      </c>
      <c r="O85" s="27">
        <v>1.6219999999999998E-2</v>
      </c>
      <c r="P85" s="27">
        <v>1.5720000000000001E-2</v>
      </c>
      <c r="Q85" s="27">
        <v>0.315</v>
      </c>
      <c r="R85" s="27">
        <v>8.2000000000000003E-2</v>
      </c>
      <c r="S85" s="27">
        <v>0.13700000000000001</v>
      </c>
      <c r="T85" s="27">
        <v>4.1000000000000002E-2</v>
      </c>
      <c r="U85" s="27">
        <v>0.27400000000000002</v>
      </c>
      <c r="V85" s="27">
        <v>0.151</v>
      </c>
      <c r="W85" s="28">
        <v>13</v>
      </c>
      <c r="X85" s="18">
        <v>0.13714285714285715</v>
      </c>
      <c r="Y85" s="28">
        <v>24</v>
      </c>
      <c r="Z85" s="18">
        <v>3.4000000000000002E-2</v>
      </c>
      <c r="AA85" s="18">
        <v>5.7000000000000002E-2</v>
      </c>
      <c r="AB85" s="18">
        <v>1.7000000000000001E-2</v>
      </c>
      <c r="AC85" s="18">
        <v>0.114</v>
      </c>
      <c r="AD85" s="27">
        <f>AC85+AA85</f>
        <v>0.17100000000000001</v>
      </c>
      <c r="AE85" s="18">
        <v>6.3E-2</v>
      </c>
      <c r="AF85" s="1" t="s">
        <v>129</v>
      </c>
      <c r="AG85" s="1" t="s">
        <v>130</v>
      </c>
      <c r="AH85" s="1" t="s">
        <v>131</v>
      </c>
      <c r="AI85" s="1">
        <v>11</v>
      </c>
      <c r="AJ85" s="1">
        <v>70</v>
      </c>
      <c r="AK85" s="1">
        <v>6</v>
      </c>
      <c r="AL85" s="1" t="s">
        <v>132</v>
      </c>
      <c r="AM85" s="1">
        <v>81</v>
      </c>
      <c r="AN85" s="1">
        <v>46</v>
      </c>
      <c r="AO85" s="1">
        <v>0</v>
      </c>
      <c r="AP85" s="3">
        <v>0</v>
      </c>
      <c r="AQ85" s="1">
        <v>25</v>
      </c>
      <c r="AR85" s="1">
        <v>63</v>
      </c>
      <c r="AS85" s="1">
        <v>22</v>
      </c>
      <c r="AT85" s="1">
        <v>55</v>
      </c>
      <c r="AU85" s="1">
        <v>54</v>
      </c>
      <c r="AV85" s="1">
        <v>68</v>
      </c>
      <c r="AW85" s="1">
        <v>67</v>
      </c>
      <c r="AX85" s="1">
        <v>84</v>
      </c>
      <c r="AY85" s="30">
        <f t="shared" si="10"/>
        <v>1.462156682324258</v>
      </c>
      <c r="AZ85" s="31">
        <f t="shared" si="12"/>
        <v>1.4388454030863485</v>
      </c>
      <c r="BA85" s="1">
        <v>13</v>
      </c>
      <c r="BB85" s="1">
        <v>43</v>
      </c>
      <c r="BC85" s="1">
        <v>6</v>
      </c>
      <c r="BD85" s="1">
        <v>40</v>
      </c>
      <c r="BE85" s="1">
        <v>7</v>
      </c>
      <c r="BF85" s="1">
        <v>47</v>
      </c>
      <c r="BG85" s="1">
        <v>17</v>
      </c>
      <c r="BH85" s="1">
        <v>57</v>
      </c>
      <c r="BI85" s="1">
        <v>23</v>
      </c>
      <c r="BJ85" s="1">
        <v>77</v>
      </c>
      <c r="BK85" s="1">
        <v>42</v>
      </c>
      <c r="BL85" s="3">
        <v>66</v>
      </c>
      <c r="BM85" s="1">
        <v>124</v>
      </c>
      <c r="BN85" s="3">
        <v>71</v>
      </c>
      <c r="BO85" s="21">
        <f t="shared" si="11"/>
        <v>60.784313725490193</v>
      </c>
      <c r="BP85" s="1">
        <v>41</v>
      </c>
      <c r="BQ85" s="3">
        <v>79</v>
      </c>
      <c r="BR85" s="53" t="s">
        <v>133</v>
      </c>
      <c r="BS85" s="3">
        <v>1.4</v>
      </c>
      <c r="BT85" s="1">
        <v>24</v>
      </c>
      <c r="BU85" s="3">
        <v>60</v>
      </c>
      <c r="BV85" s="3">
        <v>0.5</v>
      </c>
      <c r="BW85" s="1">
        <v>24</v>
      </c>
      <c r="BX85" s="3">
        <v>60</v>
      </c>
      <c r="BY85" s="3">
        <v>0.5</v>
      </c>
      <c r="BZ85" s="23" t="s">
        <v>134</v>
      </c>
      <c r="CA85" s="23" t="s">
        <v>134</v>
      </c>
      <c r="CB85" s="33">
        <v>24</v>
      </c>
      <c r="CC85" s="34">
        <v>0.13714285714285715</v>
      </c>
      <c r="CD85" s="3">
        <v>74</v>
      </c>
      <c r="CE85" s="3">
        <v>83</v>
      </c>
      <c r="CF85" s="3">
        <v>75</v>
      </c>
      <c r="CG85" s="1">
        <v>100</v>
      </c>
      <c r="CH85" s="1" t="s">
        <v>140</v>
      </c>
      <c r="CI85" s="3" t="s">
        <v>188</v>
      </c>
      <c r="CJ85" s="13"/>
      <c r="CK85" s="13"/>
      <c r="CL85" s="1" t="s">
        <v>138</v>
      </c>
      <c r="CM85" s="3" t="s">
        <v>168</v>
      </c>
      <c r="CN85" s="3" t="s">
        <v>188</v>
      </c>
      <c r="CO85" s="13"/>
      <c r="CP85" s="13"/>
      <c r="CQ85" s="13"/>
      <c r="CR85" s="1" t="s">
        <v>138</v>
      </c>
      <c r="CS85" s="1" t="s">
        <v>138</v>
      </c>
      <c r="CT85" s="1" t="s">
        <v>138</v>
      </c>
      <c r="CU85" s="1" t="s">
        <v>138</v>
      </c>
      <c r="CV85" s="1" t="s">
        <v>138</v>
      </c>
      <c r="CW85" s="1" t="s">
        <v>138</v>
      </c>
      <c r="DJ85" s="3"/>
    </row>
    <row r="86" spans="1:192" ht="60">
      <c r="A86" s="190">
        <v>20064</v>
      </c>
      <c r="B86" s="23" t="s">
        <v>127</v>
      </c>
      <c r="C86" s="1">
        <v>64.2</v>
      </c>
      <c r="D86" s="1">
        <v>7</v>
      </c>
      <c r="E86" s="1">
        <v>6</v>
      </c>
      <c r="F86" s="1">
        <v>13</v>
      </c>
      <c r="G86" s="1">
        <v>6.9</v>
      </c>
      <c r="H86" s="1">
        <v>6.8</v>
      </c>
      <c r="I86" s="1">
        <v>5.4</v>
      </c>
      <c r="J86" s="1" t="s">
        <v>241</v>
      </c>
      <c r="K86" s="26">
        <v>1.7000000000000001E-2</v>
      </c>
      <c r="L86" s="26">
        <v>2.8129999999999999E-2</v>
      </c>
      <c r="M86" s="26">
        <v>3.4689999999999999E-2</v>
      </c>
      <c r="N86" s="27">
        <v>1.7000000000000001E-2</v>
      </c>
      <c r="O86" s="27">
        <v>2.8129999999999999E-2</v>
      </c>
      <c r="P86" s="27">
        <v>3.4689999999999999E-2</v>
      </c>
      <c r="Q86" s="27">
        <v>0.68600000000000005</v>
      </c>
      <c r="R86" s="27">
        <v>0.114</v>
      </c>
      <c r="S86" s="27">
        <v>6.7000000000000004E-2</v>
      </c>
      <c r="T86" s="27">
        <v>7.5999999999999998E-2</v>
      </c>
      <c r="U86" s="27">
        <v>5.7000000000000002E-2</v>
      </c>
      <c r="V86" s="27">
        <v>0</v>
      </c>
      <c r="W86" s="28">
        <v>41</v>
      </c>
      <c r="X86" s="18">
        <v>0.41142857142857142</v>
      </c>
      <c r="Y86" s="28">
        <v>72</v>
      </c>
      <c r="Z86" s="18">
        <v>6.9000000000000006E-2</v>
      </c>
      <c r="AA86" s="18">
        <v>0.04</v>
      </c>
      <c r="AB86" s="18">
        <v>4.5999999999999999E-2</v>
      </c>
      <c r="AC86" s="18">
        <v>3.4000000000000002E-2</v>
      </c>
      <c r="AD86" s="27">
        <f>AC86+AA86</f>
        <v>7.400000000000001E-2</v>
      </c>
      <c r="AE86" s="18">
        <v>0</v>
      </c>
      <c r="AF86" s="1" t="s">
        <v>129</v>
      </c>
      <c r="AG86" s="1" t="s">
        <v>130</v>
      </c>
      <c r="AH86" s="1" t="s">
        <v>131</v>
      </c>
      <c r="AI86" s="1">
        <v>12</v>
      </c>
      <c r="AJ86" s="1">
        <v>48</v>
      </c>
      <c r="AK86" s="1">
        <v>12</v>
      </c>
      <c r="AL86" s="1" t="s">
        <v>132</v>
      </c>
      <c r="AM86" s="1">
        <v>158</v>
      </c>
      <c r="AN86" s="1">
        <v>90</v>
      </c>
      <c r="AO86" s="1">
        <v>29</v>
      </c>
      <c r="AP86" s="1">
        <v>48</v>
      </c>
      <c r="AQ86" s="1">
        <v>29</v>
      </c>
      <c r="AR86" s="1">
        <v>73</v>
      </c>
      <c r="AS86" s="1">
        <v>34</v>
      </c>
      <c r="AT86" s="1">
        <v>85</v>
      </c>
      <c r="AU86" s="1">
        <v>72</v>
      </c>
      <c r="AV86" s="3">
        <v>90</v>
      </c>
      <c r="AW86" s="1">
        <v>44</v>
      </c>
      <c r="AX86" s="3">
        <v>55</v>
      </c>
      <c r="AY86" s="30">
        <f t="shared" si="10"/>
        <v>1.4072129123996748</v>
      </c>
      <c r="AZ86" s="31">
        <f t="shared" si="12"/>
        <v>1.3780069168946467</v>
      </c>
      <c r="BA86" s="1">
        <v>20</v>
      </c>
      <c r="BB86" s="1">
        <v>67</v>
      </c>
      <c r="BC86" s="1">
        <v>11</v>
      </c>
      <c r="BD86" s="1">
        <v>73</v>
      </c>
      <c r="BE86" s="1">
        <v>9</v>
      </c>
      <c r="BF86" s="1">
        <v>60</v>
      </c>
      <c r="BG86" s="1">
        <v>17</v>
      </c>
      <c r="BH86" s="1">
        <v>57</v>
      </c>
      <c r="BI86" s="1">
        <v>23</v>
      </c>
      <c r="BJ86" s="1">
        <v>77</v>
      </c>
      <c r="BK86" s="1">
        <v>38</v>
      </c>
      <c r="BL86" s="1">
        <v>59</v>
      </c>
      <c r="BM86" s="1">
        <v>114</v>
      </c>
      <c r="BN86" s="3">
        <v>55</v>
      </c>
      <c r="BO86" s="21">
        <f t="shared" si="11"/>
        <v>55.882352941176471</v>
      </c>
      <c r="BP86" s="1">
        <v>42</v>
      </c>
      <c r="BQ86" s="3">
        <v>81</v>
      </c>
      <c r="BR86" s="53" t="s">
        <v>133</v>
      </c>
      <c r="BS86" s="1">
        <v>3</v>
      </c>
      <c r="BT86" s="1">
        <v>26</v>
      </c>
      <c r="BU86" s="3">
        <v>65</v>
      </c>
      <c r="BV86" s="3">
        <v>0.5</v>
      </c>
      <c r="BW86" s="1">
        <v>36</v>
      </c>
      <c r="BX86" s="3">
        <v>90</v>
      </c>
      <c r="BY86" s="3">
        <v>1.75</v>
      </c>
      <c r="BZ86" s="23" t="s">
        <v>134</v>
      </c>
      <c r="CA86" s="23" t="s">
        <v>134</v>
      </c>
      <c r="CB86" s="33">
        <v>5</v>
      </c>
      <c r="CC86" s="34">
        <v>2.8571428571428571E-2</v>
      </c>
      <c r="CD86" s="3">
        <v>74</v>
      </c>
      <c r="CE86" s="3">
        <v>78</v>
      </c>
      <c r="CF86" s="3">
        <v>93</v>
      </c>
      <c r="CG86" s="1">
        <v>100</v>
      </c>
      <c r="CH86" s="1" t="s">
        <v>140</v>
      </c>
      <c r="CI86" s="3" t="s">
        <v>188</v>
      </c>
      <c r="CJ86" s="13"/>
      <c r="CK86" s="13"/>
      <c r="CL86" s="1" t="s">
        <v>138</v>
      </c>
      <c r="CM86" s="3" t="s">
        <v>247</v>
      </c>
      <c r="CN86" s="3" t="s">
        <v>188</v>
      </c>
      <c r="CO86" s="13"/>
      <c r="CP86" s="13"/>
      <c r="CQ86" s="13"/>
      <c r="CR86" s="1" t="s">
        <v>138</v>
      </c>
      <c r="CS86" s="1" t="s">
        <v>138</v>
      </c>
      <c r="CT86" s="1" t="s">
        <v>138</v>
      </c>
      <c r="CU86" s="1" t="s">
        <v>138</v>
      </c>
      <c r="CV86" s="1" t="s">
        <v>138</v>
      </c>
      <c r="CW86" s="1" t="s">
        <v>138</v>
      </c>
      <c r="DJ86" s="3"/>
    </row>
    <row r="87" spans="1:192" ht="60">
      <c r="A87" s="190">
        <v>20065</v>
      </c>
      <c r="B87" s="23" t="s">
        <v>166</v>
      </c>
      <c r="C87" s="1">
        <v>56.1</v>
      </c>
      <c r="D87" s="1">
        <v>6</v>
      </c>
      <c r="E87" s="1">
        <v>5</v>
      </c>
      <c r="F87" s="1">
        <v>11</v>
      </c>
      <c r="G87" s="1">
        <v>7.95</v>
      </c>
      <c r="H87" s="1">
        <v>5</v>
      </c>
      <c r="I87" s="15">
        <v>4.0999999999999996</v>
      </c>
      <c r="J87" s="1" t="s">
        <v>145</v>
      </c>
      <c r="K87" s="26">
        <v>1.0789999999999999E-2</v>
      </c>
      <c r="L87" s="26">
        <v>1.5610000000000001E-2</v>
      </c>
      <c r="M87" s="26">
        <v>5.6390000000000003E-2</v>
      </c>
      <c r="N87" s="27">
        <v>1.0789999999999999E-2</v>
      </c>
      <c r="O87" s="27">
        <v>1.5610000000000001E-2</v>
      </c>
      <c r="P87" s="27">
        <v>5.6390000000000003E-2</v>
      </c>
      <c r="Q87" s="26">
        <v>0.30299999999999999</v>
      </c>
      <c r="R87" s="26">
        <v>0.04</v>
      </c>
      <c r="S87" s="26">
        <v>0.189</v>
      </c>
      <c r="T87" s="16">
        <v>6.0000000000000001E-3</v>
      </c>
      <c r="U87" s="16">
        <v>0.251</v>
      </c>
      <c r="V87" s="16">
        <v>0.04</v>
      </c>
      <c r="W87" s="144">
        <v>37</v>
      </c>
      <c r="X87" s="145">
        <v>0.36799999999999999</v>
      </c>
      <c r="Y87" s="28">
        <v>53</v>
      </c>
      <c r="Z87" s="16">
        <v>0.04</v>
      </c>
      <c r="AA87" s="16">
        <v>0.189</v>
      </c>
      <c r="AB87" s="16">
        <v>6.0000000000000001E-3</v>
      </c>
      <c r="AC87" s="16">
        <v>0.251</v>
      </c>
      <c r="AD87" s="27">
        <f>AC87+AA87</f>
        <v>0.44</v>
      </c>
      <c r="AE87" s="18">
        <v>0.04</v>
      </c>
      <c r="AF87" s="1" t="s">
        <v>167</v>
      </c>
      <c r="AG87" s="1" t="s">
        <v>130</v>
      </c>
      <c r="AH87" s="1" t="s">
        <v>146</v>
      </c>
      <c r="AI87" s="1">
        <v>21</v>
      </c>
      <c r="AJ87" s="1">
        <v>72</v>
      </c>
      <c r="AK87" s="1">
        <v>7</v>
      </c>
      <c r="AL87" s="1" t="s">
        <v>132</v>
      </c>
      <c r="AM87" s="108">
        <v>152</v>
      </c>
      <c r="AN87" s="1">
        <v>87</v>
      </c>
      <c r="AO87" s="1">
        <v>33</v>
      </c>
      <c r="AP87" s="28">
        <v>55</v>
      </c>
      <c r="AQ87" s="1">
        <v>39</v>
      </c>
      <c r="AR87" s="28">
        <v>98</v>
      </c>
      <c r="AS87" s="1">
        <v>36</v>
      </c>
      <c r="AT87" s="28">
        <v>90</v>
      </c>
      <c r="AU87" s="1">
        <v>75</v>
      </c>
      <c r="AV87" s="28">
        <v>90</v>
      </c>
      <c r="AW87" s="1">
        <v>75</v>
      </c>
      <c r="AX87" s="28">
        <v>94</v>
      </c>
      <c r="AY87" s="30">
        <f t="shared" si="10"/>
        <v>2.8363251601414534</v>
      </c>
      <c r="AZ87" s="31">
        <f t="shared" si="12"/>
        <v>2.7646077496029067</v>
      </c>
      <c r="BA87" s="1">
        <v>28</v>
      </c>
      <c r="BB87" s="52">
        <v>93</v>
      </c>
      <c r="BC87" s="1">
        <v>15</v>
      </c>
      <c r="BD87" s="52">
        <v>100</v>
      </c>
      <c r="BE87" s="1">
        <v>13</v>
      </c>
      <c r="BF87" s="52">
        <v>87</v>
      </c>
      <c r="BG87" s="1">
        <v>21</v>
      </c>
      <c r="BH87" s="52">
        <v>70</v>
      </c>
      <c r="BI87" s="1">
        <v>30</v>
      </c>
      <c r="BJ87" s="52">
        <v>100</v>
      </c>
      <c r="BK87" s="1">
        <v>59</v>
      </c>
      <c r="BL87" s="1">
        <v>92</v>
      </c>
      <c r="BM87" s="1">
        <v>195</v>
      </c>
      <c r="BN87" s="1">
        <v>113</v>
      </c>
      <c r="BO87" s="21">
        <f t="shared" si="11"/>
        <v>95.588235294117652</v>
      </c>
      <c r="BP87" s="1">
        <v>51</v>
      </c>
      <c r="BQ87" s="1">
        <v>98</v>
      </c>
      <c r="BR87" s="53" t="s">
        <v>133</v>
      </c>
      <c r="BS87" s="3">
        <v>2</v>
      </c>
      <c r="BT87" s="1">
        <v>37</v>
      </c>
      <c r="BU87" s="3">
        <v>93</v>
      </c>
      <c r="BV87" s="3">
        <v>4</v>
      </c>
      <c r="BW87" s="1">
        <v>39</v>
      </c>
      <c r="BX87" s="3">
        <v>98</v>
      </c>
      <c r="BY87" s="3">
        <v>6.6</v>
      </c>
      <c r="BZ87" s="23" t="s">
        <v>134</v>
      </c>
      <c r="CA87" s="23" t="s">
        <v>134</v>
      </c>
      <c r="CB87" s="33">
        <v>11</v>
      </c>
      <c r="CC87" s="34">
        <v>6.2857142857142861E-2</v>
      </c>
      <c r="CD87" s="3">
        <v>99</v>
      </c>
      <c r="CE87" s="3">
        <v>99</v>
      </c>
      <c r="CF87" s="3">
        <v>99</v>
      </c>
      <c r="CG87" s="1">
        <v>100</v>
      </c>
      <c r="CH87" s="1" t="s">
        <v>140</v>
      </c>
      <c r="CI87" s="3" t="s">
        <v>136</v>
      </c>
      <c r="CJ87" s="3" t="s">
        <v>136</v>
      </c>
      <c r="CK87" s="3" t="s">
        <v>136</v>
      </c>
      <c r="CL87" s="1"/>
      <c r="CM87" s="3" t="s">
        <v>218</v>
      </c>
      <c r="CN87" s="3" t="s">
        <v>136</v>
      </c>
      <c r="CO87" s="3" t="s">
        <v>136</v>
      </c>
      <c r="CP87" s="3" t="s">
        <v>136</v>
      </c>
      <c r="CQ87" s="3">
        <v>1</v>
      </c>
      <c r="CR87" s="1"/>
      <c r="CS87" s="1" t="s">
        <v>138</v>
      </c>
      <c r="CT87" s="1" t="s">
        <v>138</v>
      </c>
      <c r="CU87" s="1" t="s">
        <v>138</v>
      </c>
      <c r="CV87" s="1" t="s">
        <v>138</v>
      </c>
      <c r="CW87" s="1" t="s">
        <v>138</v>
      </c>
    </row>
    <row r="88" spans="1:192" s="2" customFormat="1" ht="45">
      <c r="A88" s="190">
        <v>20065</v>
      </c>
      <c r="B88" s="55" t="s">
        <v>150</v>
      </c>
      <c r="C88" s="39">
        <v>80.8</v>
      </c>
      <c r="D88" s="39">
        <v>9</v>
      </c>
      <c r="E88" s="39">
        <v>6</v>
      </c>
      <c r="F88" s="39">
        <v>15</v>
      </c>
      <c r="G88" s="39">
        <v>9.4</v>
      </c>
      <c r="H88" s="39">
        <v>7</v>
      </c>
      <c r="I88" s="15">
        <v>9</v>
      </c>
      <c r="J88" s="39" t="s">
        <v>248</v>
      </c>
      <c r="K88" s="40">
        <v>3.7600000000000001E-2</v>
      </c>
      <c r="L88" s="40">
        <v>2.3449999999999999E-2</v>
      </c>
      <c r="M88" s="40">
        <v>7.79E-3</v>
      </c>
      <c r="N88" s="40">
        <v>3.7600000000000001E-2</v>
      </c>
      <c r="O88" s="40">
        <v>2.3449999999999999E-2</v>
      </c>
      <c r="P88" s="40">
        <v>7.79E-3</v>
      </c>
      <c r="Q88" s="40">
        <v>0.93700000000000006</v>
      </c>
      <c r="R88" s="40">
        <v>1.0999999999999999E-2</v>
      </c>
      <c r="S88" s="40">
        <v>1.0999999999999999E-2</v>
      </c>
      <c r="T88" s="42">
        <v>1.0999999999999999E-2</v>
      </c>
      <c r="U88" s="42">
        <v>2.9000000000000001E-2</v>
      </c>
      <c r="V88" s="42">
        <v>0</v>
      </c>
      <c r="W88" s="41">
        <v>93</v>
      </c>
      <c r="X88" s="42">
        <v>0.93100000000000005</v>
      </c>
      <c r="Y88" s="43">
        <v>163</v>
      </c>
      <c r="Z88" s="42">
        <v>1.0999999999999999E-2</v>
      </c>
      <c r="AA88" s="42">
        <v>1.0999999999999999E-2</v>
      </c>
      <c r="AB88" s="42">
        <v>1.0999999999999999E-2</v>
      </c>
      <c r="AC88" s="42">
        <v>2.9000000000000001E-2</v>
      </c>
      <c r="AD88" s="40">
        <v>0.04</v>
      </c>
      <c r="AE88" s="42">
        <v>0</v>
      </c>
      <c r="AF88" s="38" t="s">
        <v>167</v>
      </c>
      <c r="AG88" s="38" t="s">
        <v>130</v>
      </c>
      <c r="AH88" s="38" t="s">
        <v>146</v>
      </c>
      <c r="AI88" s="38">
        <v>21</v>
      </c>
      <c r="AJ88" s="38">
        <v>79</v>
      </c>
      <c r="AK88" s="38">
        <v>89</v>
      </c>
      <c r="AL88" s="39" t="s">
        <v>132</v>
      </c>
      <c r="AM88" s="109">
        <v>171</v>
      </c>
      <c r="AN88" s="39">
        <v>98</v>
      </c>
      <c r="AO88" s="39">
        <v>42</v>
      </c>
      <c r="AP88" s="43">
        <v>70</v>
      </c>
      <c r="AQ88" s="39">
        <v>39</v>
      </c>
      <c r="AR88" s="43">
        <v>98</v>
      </c>
      <c r="AS88" s="39">
        <v>35</v>
      </c>
      <c r="AT88" s="43">
        <v>88</v>
      </c>
      <c r="AU88" s="39">
        <v>75</v>
      </c>
      <c r="AV88" s="43">
        <v>94</v>
      </c>
      <c r="AW88" s="39">
        <v>77</v>
      </c>
      <c r="AX88" s="43">
        <v>96</v>
      </c>
      <c r="AY88" s="46">
        <f t="shared" si="10"/>
        <v>3.3054596658490221</v>
      </c>
      <c r="AZ88" s="31">
        <f t="shared" si="12"/>
        <v>3.1989799921371516</v>
      </c>
      <c r="BA88" s="39">
        <v>30</v>
      </c>
      <c r="BB88" s="57">
        <v>100</v>
      </c>
      <c r="BC88" s="39">
        <v>15</v>
      </c>
      <c r="BD88" s="57">
        <v>100</v>
      </c>
      <c r="BE88" s="39">
        <v>15</v>
      </c>
      <c r="BF88" s="57">
        <v>100</v>
      </c>
      <c r="BG88" s="39">
        <v>16</v>
      </c>
      <c r="BH88" s="57">
        <v>53</v>
      </c>
      <c r="BI88" s="39">
        <v>28</v>
      </c>
      <c r="BJ88" s="57">
        <v>93</v>
      </c>
      <c r="BK88" s="39">
        <v>53</v>
      </c>
      <c r="BL88" s="39">
        <v>83</v>
      </c>
      <c r="BM88" s="39">
        <v>187</v>
      </c>
      <c r="BN88" s="39">
        <v>100</v>
      </c>
      <c r="BO88" s="47">
        <f t="shared" si="11"/>
        <v>91.666666666666657</v>
      </c>
      <c r="BP88" s="39">
        <v>50</v>
      </c>
      <c r="BQ88" s="39">
        <v>96</v>
      </c>
      <c r="BR88" s="58" t="s">
        <v>139</v>
      </c>
      <c r="BS88" s="2">
        <v>3</v>
      </c>
      <c r="BT88" s="39">
        <v>38</v>
      </c>
      <c r="BU88" s="2">
        <v>95</v>
      </c>
      <c r="BV88" s="2">
        <v>2.65</v>
      </c>
      <c r="BW88" s="39">
        <v>39</v>
      </c>
      <c r="BX88" s="2">
        <v>98</v>
      </c>
      <c r="BY88" s="2">
        <v>6.18</v>
      </c>
      <c r="BZ88" s="36" t="s">
        <v>134</v>
      </c>
      <c r="CA88" s="36" t="s">
        <v>134</v>
      </c>
      <c r="CB88" s="48">
        <v>0</v>
      </c>
      <c r="CC88" s="48">
        <v>0</v>
      </c>
      <c r="CD88" s="2">
        <v>98</v>
      </c>
      <c r="CE88" s="2">
        <v>99</v>
      </c>
      <c r="CF88" s="2">
        <v>100</v>
      </c>
      <c r="CG88" s="39">
        <v>100</v>
      </c>
      <c r="CH88" s="39" t="s">
        <v>140</v>
      </c>
      <c r="CI88" s="2" t="s">
        <v>136</v>
      </c>
      <c r="CJ88" s="49" t="s">
        <v>141</v>
      </c>
      <c r="CK88" s="49" t="s">
        <v>142</v>
      </c>
      <c r="CL88" s="39"/>
      <c r="CM88" s="2" t="s">
        <v>175</v>
      </c>
      <c r="CN88" s="2" t="s">
        <v>136</v>
      </c>
      <c r="CO88" s="49" t="s">
        <v>141</v>
      </c>
      <c r="CP88" s="49" t="s">
        <v>142</v>
      </c>
      <c r="CQ88" s="49"/>
      <c r="CR88" s="39"/>
      <c r="CS88" s="2" t="s">
        <v>140</v>
      </c>
      <c r="CT88" s="2" t="s">
        <v>140</v>
      </c>
      <c r="CU88" s="2">
        <v>100</v>
      </c>
      <c r="CV88" s="2">
        <v>96</v>
      </c>
      <c r="CW88" s="2">
        <v>100</v>
      </c>
      <c r="DJ88" s="35"/>
    </row>
    <row r="89" spans="1:192" ht="60">
      <c r="A89" s="190">
        <v>20066</v>
      </c>
      <c r="B89" s="23" t="s">
        <v>127</v>
      </c>
      <c r="C89" s="1">
        <v>67.8</v>
      </c>
      <c r="D89" s="1">
        <v>6</v>
      </c>
      <c r="E89" s="1">
        <v>4</v>
      </c>
      <c r="F89" s="1">
        <v>10</v>
      </c>
      <c r="G89" s="1">
        <v>9.4</v>
      </c>
      <c r="H89" s="1">
        <v>6.7</v>
      </c>
      <c r="I89" s="15">
        <v>7.8</v>
      </c>
      <c r="J89" s="1" t="s">
        <v>210</v>
      </c>
      <c r="K89" s="26">
        <v>2.5080000000000002E-2</v>
      </c>
      <c r="L89" s="26">
        <v>1.379E-2</v>
      </c>
      <c r="M89" s="26">
        <v>3.4270000000000002E-2</v>
      </c>
      <c r="N89" s="27">
        <v>2.5080000000000002E-2</v>
      </c>
      <c r="O89" s="27">
        <v>1.379E-2</v>
      </c>
      <c r="P89" s="27">
        <v>3.4270000000000002E-2</v>
      </c>
      <c r="Q89" s="27">
        <v>0.56699999999999995</v>
      </c>
      <c r="R89" s="27">
        <v>2.5000000000000001E-2</v>
      </c>
      <c r="S89" s="27">
        <v>0.13400000000000001</v>
      </c>
      <c r="T89" s="27">
        <v>1.2999999999999999E-2</v>
      </c>
      <c r="U89" s="27">
        <v>0.248</v>
      </c>
      <c r="V89" s="27">
        <v>1.2999999999999999E-2</v>
      </c>
      <c r="W89" s="28">
        <v>51</v>
      </c>
      <c r="X89" s="18">
        <v>0.50857142857142856</v>
      </c>
      <c r="Y89" s="28">
        <v>89</v>
      </c>
      <c r="Z89" s="18">
        <v>2.3E-2</v>
      </c>
      <c r="AA89" s="18">
        <v>0.12</v>
      </c>
      <c r="AB89" s="18">
        <v>1.0999999999999999E-2</v>
      </c>
      <c r="AC89" s="18">
        <v>0.223</v>
      </c>
      <c r="AD89" s="27">
        <f>AC89+AA89</f>
        <v>0.34299999999999997</v>
      </c>
      <c r="AE89" s="18">
        <v>1.0999999999999999E-2</v>
      </c>
      <c r="AF89" s="1" t="s">
        <v>167</v>
      </c>
      <c r="AG89" s="1" t="s">
        <v>130</v>
      </c>
      <c r="AH89" s="1" t="s">
        <v>146</v>
      </c>
      <c r="AI89" s="1">
        <v>12</v>
      </c>
      <c r="AJ89" s="1">
        <v>70</v>
      </c>
      <c r="AK89" s="1">
        <v>7</v>
      </c>
      <c r="AL89" s="1" t="s">
        <v>132</v>
      </c>
      <c r="AM89" s="1">
        <v>119</v>
      </c>
      <c r="AN89" s="1">
        <v>68</v>
      </c>
      <c r="AO89" s="1">
        <v>5</v>
      </c>
      <c r="AP89" s="28">
        <v>8</v>
      </c>
      <c r="AQ89" s="1">
        <v>32</v>
      </c>
      <c r="AR89" s="1">
        <v>80</v>
      </c>
      <c r="AS89" s="1">
        <v>31</v>
      </c>
      <c r="AT89" s="1">
        <v>78</v>
      </c>
      <c r="AU89" s="1">
        <v>74</v>
      </c>
      <c r="AV89" s="1">
        <v>93</v>
      </c>
      <c r="AW89" s="1">
        <v>63</v>
      </c>
      <c r="AX89" s="1">
        <v>79</v>
      </c>
      <c r="AY89" s="30">
        <f t="shared" si="10"/>
        <v>2.2822122751974119</v>
      </c>
      <c r="AZ89" s="31">
        <f t="shared" si="12"/>
        <v>2.2314145374523475</v>
      </c>
      <c r="BA89" s="1">
        <v>27</v>
      </c>
      <c r="BB89" s="1">
        <v>90</v>
      </c>
      <c r="BC89" s="1">
        <v>14</v>
      </c>
      <c r="BD89" s="1">
        <v>93</v>
      </c>
      <c r="BE89" s="1">
        <v>13</v>
      </c>
      <c r="BF89" s="1">
        <v>87</v>
      </c>
      <c r="BG89" s="1">
        <v>23</v>
      </c>
      <c r="BH89" s="1">
        <v>77</v>
      </c>
      <c r="BI89" s="1">
        <v>30</v>
      </c>
      <c r="BJ89" s="1">
        <v>100</v>
      </c>
      <c r="BK89" s="1">
        <v>52</v>
      </c>
      <c r="BL89" s="1">
        <v>81</v>
      </c>
      <c r="BM89" s="1">
        <v>176</v>
      </c>
      <c r="BN89" s="3">
        <v>90</v>
      </c>
      <c r="BO89" s="21">
        <f t="shared" si="11"/>
        <v>86.274509803921575</v>
      </c>
      <c r="BP89" s="1">
        <v>50</v>
      </c>
      <c r="BQ89" s="3">
        <v>96</v>
      </c>
      <c r="BR89" s="53" t="s">
        <v>133</v>
      </c>
      <c r="BS89" s="3">
        <v>1.4</v>
      </c>
      <c r="BT89" s="1">
        <v>34</v>
      </c>
      <c r="BU89" s="3">
        <v>85</v>
      </c>
      <c r="BV89" s="3">
        <v>1.67</v>
      </c>
      <c r="BW89" s="1">
        <v>34</v>
      </c>
      <c r="BX89" s="3">
        <v>85</v>
      </c>
      <c r="BY89" s="3">
        <v>1.29</v>
      </c>
      <c r="BZ89" s="23" t="s">
        <v>249</v>
      </c>
      <c r="CA89" s="23" t="s">
        <v>147</v>
      </c>
      <c r="CB89" s="33">
        <v>24</v>
      </c>
      <c r="CC89" s="34">
        <v>0.13714285714285715</v>
      </c>
      <c r="CD89" s="3">
        <v>95</v>
      </c>
      <c r="CE89" s="3">
        <v>99</v>
      </c>
      <c r="CF89" s="3">
        <v>96</v>
      </c>
      <c r="CG89" s="1">
        <v>100</v>
      </c>
      <c r="CH89" s="1" t="s">
        <v>140</v>
      </c>
      <c r="CI89" s="3" t="s">
        <v>136</v>
      </c>
      <c r="CJ89" s="3" t="s">
        <v>136</v>
      </c>
      <c r="CK89" s="3" t="s">
        <v>136</v>
      </c>
      <c r="CL89" s="1"/>
      <c r="CM89" s="3" t="s">
        <v>137</v>
      </c>
      <c r="CN89" s="3" t="s">
        <v>136</v>
      </c>
      <c r="CO89" s="3" t="s">
        <v>136</v>
      </c>
      <c r="CP89" s="3" t="s">
        <v>136</v>
      </c>
      <c r="CQ89" s="3">
        <v>1</v>
      </c>
      <c r="CR89" s="1"/>
      <c r="CS89" s="1" t="s">
        <v>138</v>
      </c>
      <c r="CT89" s="1" t="s">
        <v>138</v>
      </c>
      <c r="CU89" s="1" t="s">
        <v>138</v>
      </c>
      <c r="CV89" s="1" t="s">
        <v>138</v>
      </c>
      <c r="CW89" s="1" t="s">
        <v>138</v>
      </c>
    </row>
    <row r="90" spans="1:192" ht="60">
      <c r="A90" s="190">
        <v>20067</v>
      </c>
      <c r="B90" s="23" t="s">
        <v>166</v>
      </c>
      <c r="C90" s="1">
        <v>94.8</v>
      </c>
      <c r="D90" s="1">
        <v>10</v>
      </c>
      <c r="E90" s="1">
        <v>9</v>
      </c>
      <c r="F90" s="1">
        <v>19</v>
      </c>
      <c r="G90" s="1">
        <v>10</v>
      </c>
      <c r="H90" s="1">
        <v>9.8000000000000007</v>
      </c>
      <c r="I90" s="1">
        <v>8.6</v>
      </c>
      <c r="J90" s="1" t="s">
        <v>128</v>
      </c>
      <c r="K90" s="26">
        <v>4.5929999999999999E-2</v>
      </c>
      <c r="L90" s="26">
        <v>1.7860000000000001E-2</v>
      </c>
      <c r="M90" s="26">
        <v>3.8800000000000002E-3</v>
      </c>
      <c r="N90" s="27">
        <v>4.5929999999999999E-2</v>
      </c>
      <c r="O90" s="27">
        <v>1.7860000000000001E-2</v>
      </c>
      <c r="P90" s="27">
        <v>3.8800000000000002E-3</v>
      </c>
      <c r="Q90" s="27">
        <v>0.90800000000000003</v>
      </c>
      <c r="R90" s="27">
        <v>1.7000000000000001E-2</v>
      </c>
      <c r="S90" s="27">
        <v>1.2E-2</v>
      </c>
      <c r="T90" s="27">
        <v>6.0000000000000001E-3</v>
      </c>
      <c r="U90" s="27">
        <v>5.8000000000000003E-2</v>
      </c>
      <c r="V90" s="27">
        <v>0</v>
      </c>
      <c r="W90" s="28">
        <v>90</v>
      </c>
      <c r="X90" s="18">
        <v>0.9028571428571428</v>
      </c>
      <c r="Y90" s="28">
        <v>158</v>
      </c>
      <c r="Z90" s="18">
        <v>1.7000000000000001E-2</v>
      </c>
      <c r="AA90" s="18">
        <v>1.0999999999999999E-2</v>
      </c>
      <c r="AB90" s="18">
        <v>6.0000000000000001E-3</v>
      </c>
      <c r="AC90" s="18">
        <v>5.7000000000000002E-2</v>
      </c>
      <c r="AD90" s="27">
        <f>AC90+AA90</f>
        <v>6.8000000000000005E-2</v>
      </c>
      <c r="AE90" s="18">
        <v>0</v>
      </c>
      <c r="AF90" s="1" t="s">
        <v>129</v>
      </c>
      <c r="AG90" s="1" t="s">
        <v>130</v>
      </c>
      <c r="AH90" s="1" t="s">
        <v>131</v>
      </c>
      <c r="AI90" s="1">
        <v>14</v>
      </c>
      <c r="AJ90" s="1">
        <v>26</v>
      </c>
      <c r="AK90" s="1">
        <v>7</v>
      </c>
      <c r="AL90" s="1" t="s">
        <v>132</v>
      </c>
      <c r="AM90" s="1">
        <v>169</v>
      </c>
      <c r="AN90" s="1">
        <v>97</v>
      </c>
      <c r="AO90" s="1">
        <v>47</v>
      </c>
      <c r="AP90" s="3">
        <v>78</v>
      </c>
      <c r="AQ90" s="1">
        <v>38</v>
      </c>
      <c r="AR90" s="1">
        <v>95</v>
      </c>
      <c r="AS90" s="1">
        <v>37</v>
      </c>
      <c r="AT90" s="1">
        <v>93</v>
      </c>
      <c r="AU90" s="1">
        <v>75</v>
      </c>
      <c r="AV90" s="1">
        <v>94</v>
      </c>
      <c r="AW90" s="1">
        <v>68</v>
      </c>
      <c r="AX90" s="1">
        <v>85</v>
      </c>
      <c r="AY90" s="30">
        <f t="shared" si="10"/>
        <v>2.5912069840906424</v>
      </c>
      <c r="AZ90" s="31">
        <f t="shared" si="12"/>
        <v>2.5287784804427873</v>
      </c>
      <c r="BA90" s="1">
        <v>25</v>
      </c>
      <c r="BB90" s="1">
        <v>83</v>
      </c>
      <c r="BC90" s="1">
        <v>12</v>
      </c>
      <c r="BD90" s="1">
        <v>80</v>
      </c>
      <c r="BE90" s="1">
        <v>13</v>
      </c>
      <c r="BF90" s="1">
        <v>87</v>
      </c>
      <c r="BG90" s="1">
        <v>28</v>
      </c>
      <c r="BH90" s="1">
        <v>93</v>
      </c>
      <c r="BI90" s="1">
        <v>30</v>
      </c>
      <c r="BJ90" s="1">
        <v>100</v>
      </c>
      <c r="BK90" s="1">
        <v>50</v>
      </c>
      <c r="BL90" s="3">
        <v>78</v>
      </c>
      <c r="BM90" s="1">
        <v>158</v>
      </c>
      <c r="BN90" s="3">
        <v>86</v>
      </c>
      <c r="BO90" s="21">
        <f t="shared" si="11"/>
        <v>77.450980392156865</v>
      </c>
      <c r="BP90" s="1">
        <v>45</v>
      </c>
      <c r="BQ90" s="3">
        <v>87</v>
      </c>
      <c r="BR90" s="53" t="s">
        <v>133</v>
      </c>
      <c r="BS90" s="3">
        <v>3.2</v>
      </c>
      <c r="BT90" s="1">
        <v>37</v>
      </c>
      <c r="BU90" s="3">
        <v>93</v>
      </c>
      <c r="BV90" s="3">
        <v>2</v>
      </c>
      <c r="BW90" s="1">
        <v>38</v>
      </c>
      <c r="BX90" s="3">
        <v>95</v>
      </c>
      <c r="BY90" s="3">
        <v>3.16</v>
      </c>
      <c r="BZ90" s="23" t="s">
        <v>134</v>
      </c>
      <c r="CA90" s="23" t="s">
        <v>134</v>
      </c>
      <c r="CB90" s="33">
        <v>5</v>
      </c>
      <c r="CC90" s="34">
        <v>2.8571428571428571E-2</v>
      </c>
      <c r="CD90" s="3">
        <v>99</v>
      </c>
      <c r="CE90" s="3">
        <v>100</v>
      </c>
      <c r="CF90" s="3">
        <v>99</v>
      </c>
      <c r="CG90" s="1">
        <v>100</v>
      </c>
      <c r="CH90" s="1" t="s">
        <v>140</v>
      </c>
      <c r="CI90" s="3" t="s">
        <v>188</v>
      </c>
      <c r="CJ90" s="13"/>
      <c r="CK90" s="13"/>
      <c r="CL90" s="1" t="s">
        <v>138</v>
      </c>
      <c r="CM90" s="3" t="s">
        <v>250</v>
      </c>
      <c r="CN90" s="3" t="s">
        <v>188</v>
      </c>
      <c r="CO90" s="13"/>
      <c r="CP90" s="13"/>
      <c r="CQ90" s="13"/>
      <c r="CR90" s="1" t="s">
        <v>138</v>
      </c>
      <c r="CS90" s="1" t="s">
        <v>138</v>
      </c>
      <c r="CT90" s="1" t="s">
        <v>138</v>
      </c>
      <c r="CU90" s="1" t="s">
        <v>138</v>
      </c>
      <c r="CV90" s="1" t="s">
        <v>138</v>
      </c>
      <c r="CW90" s="1" t="s">
        <v>138</v>
      </c>
      <c r="DJ90" s="3"/>
    </row>
    <row r="91" spans="1:192" ht="60">
      <c r="A91" s="190">
        <v>20068</v>
      </c>
      <c r="B91" s="23" t="s">
        <v>127</v>
      </c>
      <c r="C91" s="3">
        <v>64.5</v>
      </c>
      <c r="D91" s="1">
        <v>8</v>
      </c>
      <c r="E91" s="3">
        <v>6</v>
      </c>
      <c r="F91" s="1">
        <v>14</v>
      </c>
      <c r="G91" s="3">
        <v>6.2</v>
      </c>
      <c r="H91" s="1">
        <v>5.7</v>
      </c>
      <c r="I91" s="15">
        <v>6.4</v>
      </c>
      <c r="J91" s="1" t="s">
        <v>241</v>
      </c>
      <c r="K91" s="26">
        <v>2.0490000000000001E-2</v>
      </c>
      <c r="L91" s="26">
        <v>2.1139999999999999E-2</v>
      </c>
      <c r="M91" s="26">
        <v>3.9789999999999999E-2</v>
      </c>
      <c r="N91" s="27">
        <v>2.0490000000000001E-2</v>
      </c>
      <c r="O91" s="27">
        <v>2.1139999999999999E-2</v>
      </c>
      <c r="P91" s="27">
        <v>3.9789999999999999E-2</v>
      </c>
      <c r="Q91" s="27">
        <v>0.65600000000000003</v>
      </c>
      <c r="R91" s="27">
        <v>6.5000000000000002E-2</v>
      </c>
      <c r="S91" s="27">
        <v>1.9E-2</v>
      </c>
      <c r="T91" s="27">
        <v>9.7000000000000003E-2</v>
      </c>
      <c r="U91" s="27">
        <v>0.14299999999999999</v>
      </c>
      <c r="V91" s="27">
        <v>1.9E-2</v>
      </c>
      <c r="W91" s="52">
        <v>58</v>
      </c>
      <c r="X91" s="18">
        <v>0.57714285714285718</v>
      </c>
      <c r="Y91" s="28">
        <v>101</v>
      </c>
      <c r="Z91" s="27">
        <v>5.7000000000000002E-2</v>
      </c>
      <c r="AA91" s="27">
        <v>1.7000000000000001E-2</v>
      </c>
      <c r="AB91" s="27">
        <v>8.5999999999999993E-2</v>
      </c>
      <c r="AC91" s="27">
        <v>0.126</v>
      </c>
      <c r="AD91" s="27">
        <f>AC91+AA91</f>
        <v>0.14300000000000002</v>
      </c>
      <c r="AE91" s="27">
        <v>1.7000000000000001E-2</v>
      </c>
      <c r="AF91" s="1" t="s">
        <v>129</v>
      </c>
      <c r="AG91" s="1" t="s">
        <v>130</v>
      </c>
      <c r="AH91" s="1" t="s">
        <v>146</v>
      </c>
      <c r="AI91" s="3">
        <v>16</v>
      </c>
      <c r="AJ91" s="3">
        <v>55</v>
      </c>
      <c r="AK91" s="3">
        <v>381</v>
      </c>
      <c r="AL91" s="3" t="s">
        <v>132</v>
      </c>
      <c r="AM91" s="1">
        <v>148</v>
      </c>
      <c r="AN91" s="3">
        <v>85</v>
      </c>
      <c r="AO91" s="1">
        <v>20</v>
      </c>
      <c r="AP91" s="3">
        <v>33</v>
      </c>
      <c r="AQ91" s="1">
        <v>38</v>
      </c>
      <c r="AR91" s="3">
        <v>95</v>
      </c>
      <c r="AS91" s="1">
        <v>36</v>
      </c>
      <c r="AT91" s="3">
        <v>90</v>
      </c>
      <c r="AU91" s="1">
        <v>73</v>
      </c>
      <c r="AV91" s="3">
        <v>91</v>
      </c>
      <c r="AW91" s="1">
        <v>66</v>
      </c>
      <c r="AX91" s="3">
        <v>83</v>
      </c>
      <c r="AY91" s="30">
        <f t="shared" si="10"/>
        <v>2.2949202868364118</v>
      </c>
      <c r="AZ91" s="31">
        <f t="shared" si="12"/>
        <v>2.248401313152752</v>
      </c>
      <c r="BA91" s="1">
        <v>23</v>
      </c>
      <c r="BB91" s="3">
        <v>77</v>
      </c>
      <c r="BC91" s="1">
        <v>12</v>
      </c>
      <c r="BD91" s="3">
        <v>80</v>
      </c>
      <c r="BE91" s="1">
        <v>11</v>
      </c>
      <c r="BF91" s="3">
        <v>73</v>
      </c>
      <c r="BG91" s="1">
        <v>16</v>
      </c>
      <c r="BH91" s="3">
        <v>53</v>
      </c>
      <c r="BI91" s="1">
        <v>19</v>
      </c>
      <c r="BJ91" s="3">
        <v>63</v>
      </c>
      <c r="BK91" s="1">
        <v>43</v>
      </c>
      <c r="BL91" s="3">
        <v>67</v>
      </c>
      <c r="BM91" s="1">
        <v>143</v>
      </c>
      <c r="BN91" s="3">
        <v>73</v>
      </c>
      <c r="BO91" s="21">
        <f t="shared" si="11"/>
        <v>70.098039215686271</v>
      </c>
      <c r="BP91" s="1">
        <v>45</v>
      </c>
      <c r="BQ91" s="3">
        <v>87</v>
      </c>
      <c r="BR91" s="53" t="s">
        <v>133</v>
      </c>
      <c r="BS91" s="3">
        <v>2.2000000000000002</v>
      </c>
      <c r="BT91" s="1">
        <v>29</v>
      </c>
      <c r="BU91" s="3">
        <v>73</v>
      </c>
      <c r="BV91" s="3">
        <v>0.5</v>
      </c>
      <c r="BW91" s="1">
        <v>35</v>
      </c>
      <c r="BX91" s="3">
        <v>88</v>
      </c>
      <c r="BY91" s="3">
        <v>1.35</v>
      </c>
      <c r="BZ91" s="23" t="s">
        <v>134</v>
      </c>
      <c r="CA91" s="23" t="s">
        <v>134</v>
      </c>
      <c r="CB91" s="33">
        <v>22</v>
      </c>
      <c r="CC91" s="34">
        <v>0.12571428571428572</v>
      </c>
      <c r="CD91" s="3">
        <v>77</v>
      </c>
      <c r="CE91" s="3">
        <v>78</v>
      </c>
      <c r="CF91" s="3">
        <v>99</v>
      </c>
      <c r="CG91" s="1">
        <v>100</v>
      </c>
      <c r="CH91" s="1" t="s">
        <v>140</v>
      </c>
      <c r="CI91" s="3" t="s">
        <v>136</v>
      </c>
      <c r="CJ91" s="3" t="s">
        <v>136</v>
      </c>
      <c r="CK91" s="49" t="s">
        <v>142</v>
      </c>
      <c r="CM91" s="3" t="s">
        <v>168</v>
      </c>
      <c r="CN91" s="3" t="s">
        <v>188</v>
      </c>
      <c r="CO91" s="13"/>
      <c r="CP91" s="13"/>
      <c r="CQ91" s="13"/>
      <c r="CR91" s="1" t="s">
        <v>138</v>
      </c>
      <c r="CS91" s="1" t="s">
        <v>138</v>
      </c>
      <c r="CT91" s="1" t="s">
        <v>138</v>
      </c>
      <c r="CU91" s="1" t="s">
        <v>138</v>
      </c>
      <c r="CV91" s="1" t="s">
        <v>138</v>
      </c>
      <c r="CW91" s="1" t="s">
        <v>138</v>
      </c>
    </row>
    <row r="92" spans="1:192" s="10" customFormat="1" ht="15.75" customHeight="1">
      <c r="A92" s="190">
        <v>20069</v>
      </c>
      <c r="B92" s="51" t="s">
        <v>196</v>
      </c>
      <c r="C92" s="1">
        <v>65.099999999999994</v>
      </c>
      <c r="D92" s="1">
        <v>6</v>
      </c>
      <c r="E92" s="1">
        <v>4</v>
      </c>
      <c r="F92" s="1">
        <v>10</v>
      </c>
      <c r="G92" s="1">
        <v>8.85</v>
      </c>
      <c r="H92" s="1">
        <v>7.5</v>
      </c>
      <c r="I92" s="15">
        <v>6.2</v>
      </c>
      <c r="J92" s="1" t="s">
        <v>210</v>
      </c>
      <c r="K92" s="27">
        <v>1.0880000000000001E-2</v>
      </c>
      <c r="L92" s="27">
        <v>1.9699999999999999E-2</v>
      </c>
      <c r="M92" s="27">
        <v>2.8219999999999999E-2</v>
      </c>
      <c r="N92" s="27">
        <v>1.0880000000000001E-2</v>
      </c>
      <c r="O92" s="27">
        <v>1.9699999999999999E-2</v>
      </c>
      <c r="P92" s="27">
        <v>2.8219999999999999E-2</v>
      </c>
      <c r="Q92" s="27">
        <v>0.39700000000000002</v>
      </c>
      <c r="R92" s="27">
        <v>7.5999999999999998E-2</v>
      </c>
      <c r="S92" s="27">
        <v>0.115</v>
      </c>
      <c r="T92" s="27">
        <v>3.7999999999999999E-2</v>
      </c>
      <c r="U92" s="27">
        <v>0.20599999999999999</v>
      </c>
      <c r="V92" s="27">
        <v>0.16800000000000001</v>
      </c>
      <c r="W92" s="28">
        <v>40</v>
      </c>
      <c r="X92" s="74">
        <v>0.39700000000000002</v>
      </c>
      <c r="Y92" s="52">
        <v>52</v>
      </c>
      <c r="Z92" s="18">
        <v>7.5999999999999998E-2</v>
      </c>
      <c r="AA92" s="18">
        <v>0.115</v>
      </c>
      <c r="AB92" s="18">
        <v>3.7999999999999999E-2</v>
      </c>
      <c r="AC92" s="18">
        <v>0.20599999999999999</v>
      </c>
      <c r="AD92" s="18">
        <v>0.32100000000000001</v>
      </c>
      <c r="AE92" s="18">
        <v>0.16800000000000001</v>
      </c>
      <c r="AF92" s="1" t="s">
        <v>167</v>
      </c>
      <c r="AG92" s="3" t="s">
        <v>130</v>
      </c>
      <c r="AH92" s="3" t="s">
        <v>146</v>
      </c>
      <c r="AI92" s="1">
        <v>12</v>
      </c>
      <c r="AJ92" s="1">
        <v>64</v>
      </c>
      <c r="AK92" s="1">
        <v>19</v>
      </c>
      <c r="AL92" s="1" t="s">
        <v>132</v>
      </c>
      <c r="AM92" s="1">
        <v>122</v>
      </c>
      <c r="AN92" s="1">
        <v>70</v>
      </c>
      <c r="AO92" s="1">
        <v>17</v>
      </c>
      <c r="AP92" s="3">
        <v>28</v>
      </c>
      <c r="AQ92" s="1">
        <v>37</v>
      </c>
      <c r="AR92" s="3">
        <v>93</v>
      </c>
      <c r="AS92" s="1">
        <v>29</v>
      </c>
      <c r="AT92" s="3">
        <v>73</v>
      </c>
      <c r="AU92" s="1">
        <v>95</v>
      </c>
      <c r="AV92" s="1">
        <v>95</v>
      </c>
      <c r="AW92" s="1">
        <v>90</v>
      </c>
      <c r="AX92" s="1">
        <v>90</v>
      </c>
      <c r="AY92" s="30">
        <f t="shared" si="10"/>
        <v>2.9264051924960723</v>
      </c>
      <c r="AZ92" s="31">
        <f t="shared" si="12"/>
        <v>2.8471238021967586</v>
      </c>
      <c r="BA92" s="1">
        <v>16</v>
      </c>
      <c r="BB92" s="1">
        <v>53</v>
      </c>
      <c r="BC92" s="1">
        <v>9</v>
      </c>
      <c r="BD92" s="1">
        <v>60</v>
      </c>
      <c r="BE92" s="1">
        <v>7</v>
      </c>
      <c r="BF92" s="1">
        <v>47</v>
      </c>
      <c r="BG92" s="1">
        <v>22</v>
      </c>
      <c r="BH92" s="1">
        <v>73</v>
      </c>
      <c r="BI92" s="1">
        <v>30</v>
      </c>
      <c r="BJ92" s="1">
        <v>100</v>
      </c>
      <c r="BK92" s="1">
        <v>37</v>
      </c>
      <c r="BL92" s="3">
        <v>58</v>
      </c>
      <c r="BM92" s="1">
        <v>151</v>
      </c>
      <c r="BN92" s="3">
        <v>78</v>
      </c>
      <c r="BO92" s="21">
        <f t="shared" si="11"/>
        <v>74.019607843137265</v>
      </c>
      <c r="BP92" s="1">
        <v>40</v>
      </c>
      <c r="BQ92" s="3">
        <v>77</v>
      </c>
      <c r="BR92" s="80" t="s">
        <v>185</v>
      </c>
      <c r="BS92" s="3">
        <v>2.8</v>
      </c>
      <c r="BT92" s="1">
        <v>26</v>
      </c>
      <c r="BU92" s="3">
        <v>65</v>
      </c>
      <c r="BV92" s="3">
        <v>0.5</v>
      </c>
      <c r="BW92" s="1">
        <v>39</v>
      </c>
      <c r="BX92" s="3">
        <v>98</v>
      </c>
      <c r="BY92" s="3">
        <v>1.53</v>
      </c>
      <c r="BZ92" s="3" t="s">
        <v>194</v>
      </c>
      <c r="CA92" s="3" t="s">
        <v>194</v>
      </c>
      <c r="CB92" s="33">
        <v>6</v>
      </c>
      <c r="CC92" s="34">
        <v>3.4285714285714287E-2</v>
      </c>
      <c r="CD92" s="3">
        <v>72</v>
      </c>
      <c r="CE92" s="3">
        <v>72</v>
      </c>
      <c r="CF92" s="3">
        <v>100</v>
      </c>
      <c r="CG92" s="1">
        <v>100</v>
      </c>
      <c r="CH92" s="1" t="s">
        <v>153</v>
      </c>
      <c r="CI92" s="3" t="s">
        <v>136</v>
      </c>
      <c r="CJ92" s="3" t="s">
        <v>136</v>
      </c>
      <c r="CK92" s="49" t="s">
        <v>142</v>
      </c>
      <c r="CL92" s="3" t="s">
        <v>251</v>
      </c>
      <c r="CM92" s="3" t="s">
        <v>137</v>
      </c>
      <c r="CN92" s="3" t="s">
        <v>188</v>
      </c>
      <c r="CO92" s="13"/>
      <c r="CP92" s="13"/>
      <c r="CQ92" s="13"/>
      <c r="CR92" s="1" t="s">
        <v>138</v>
      </c>
      <c r="CS92" s="1" t="s">
        <v>138</v>
      </c>
      <c r="CT92" s="1" t="s">
        <v>138</v>
      </c>
      <c r="CU92" s="1" t="s">
        <v>138</v>
      </c>
      <c r="CV92" s="1" t="s">
        <v>138</v>
      </c>
      <c r="CW92" s="1" t="s">
        <v>138</v>
      </c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5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</row>
    <row r="93" spans="1:192" ht="60">
      <c r="A93" s="190">
        <v>20070</v>
      </c>
      <c r="B93" s="23" t="s">
        <v>166</v>
      </c>
      <c r="C93" s="1">
        <v>68.8</v>
      </c>
      <c r="D93" s="1">
        <v>7</v>
      </c>
      <c r="E93" s="1">
        <v>4</v>
      </c>
      <c r="F93" s="1">
        <v>11</v>
      </c>
      <c r="G93" s="1">
        <v>8.8000000000000007</v>
      </c>
      <c r="H93" s="1">
        <v>6.6</v>
      </c>
      <c r="I93" s="1">
        <v>8</v>
      </c>
      <c r="J93" s="1" t="s">
        <v>210</v>
      </c>
      <c r="K93" s="26">
        <v>3.6269999999999997E-2</v>
      </c>
      <c r="L93" s="26">
        <v>1.469E-2</v>
      </c>
      <c r="M93" s="26">
        <v>1.763E-2</v>
      </c>
      <c r="N93" s="27">
        <v>3.6269999999999997E-2</v>
      </c>
      <c r="O93" s="27">
        <v>1.469E-2</v>
      </c>
      <c r="P93" s="27">
        <v>1.763E-2</v>
      </c>
      <c r="Q93" s="27">
        <v>0.75600000000000001</v>
      </c>
      <c r="R93" s="27">
        <v>6.0000000000000001E-3</v>
      </c>
      <c r="S93" s="27">
        <v>5.5E-2</v>
      </c>
      <c r="T93" s="27">
        <v>2.4E-2</v>
      </c>
      <c r="U93" s="27">
        <v>0.159</v>
      </c>
      <c r="V93" s="27">
        <v>0</v>
      </c>
      <c r="W93" s="28">
        <v>71</v>
      </c>
      <c r="X93" s="27">
        <v>0.70857142857142852</v>
      </c>
      <c r="Y93" s="52">
        <v>124</v>
      </c>
      <c r="Z93" s="18">
        <v>6.0000000000000001E-3</v>
      </c>
      <c r="AA93" s="18">
        <v>5.0999999999999997E-2</v>
      </c>
      <c r="AB93" s="18">
        <v>2.3E-2</v>
      </c>
      <c r="AC93" s="18">
        <v>0.14899999999999999</v>
      </c>
      <c r="AD93" s="27">
        <f t="shared" ref="AD93:AD98" si="14">AC93+AA93</f>
        <v>0.19999999999999998</v>
      </c>
      <c r="AE93" s="18">
        <v>0</v>
      </c>
      <c r="AF93" s="1" t="s">
        <v>167</v>
      </c>
      <c r="AG93" s="1" t="s">
        <v>130</v>
      </c>
      <c r="AH93" s="1" t="s">
        <v>131</v>
      </c>
      <c r="AI93" s="1">
        <v>12</v>
      </c>
      <c r="AJ93" s="1">
        <v>43</v>
      </c>
      <c r="AK93" s="1">
        <v>2</v>
      </c>
      <c r="AL93" s="1" t="s">
        <v>132</v>
      </c>
      <c r="AM93" s="108">
        <v>133</v>
      </c>
      <c r="AN93" s="1">
        <v>76</v>
      </c>
      <c r="AO93" s="1">
        <v>15</v>
      </c>
      <c r="AP93" s="3">
        <v>25</v>
      </c>
      <c r="AQ93" s="1">
        <v>39</v>
      </c>
      <c r="AR93" s="1">
        <v>98</v>
      </c>
      <c r="AS93" s="1">
        <v>36</v>
      </c>
      <c r="AT93" s="1">
        <v>90</v>
      </c>
      <c r="AU93" s="1">
        <v>67</v>
      </c>
      <c r="AV93" s="1">
        <v>84</v>
      </c>
      <c r="AW93" s="1">
        <v>65</v>
      </c>
      <c r="AX93" s="1">
        <v>81</v>
      </c>
      <c r="AY93" s="30">
        <f t="shared" si="10"/>
        <v>1.8723541782609783</v>
      </c>
      <c r="AZ93" s="31">
        <f t="shared" si="12"/>
        <v>1.8412307872661224</v>
      </c>
      <c r="BA93" s="1">
        <v>21</v>
      </c>
      <c r="BB93" s="1">
        <v>70</v>
      </c>
      <c r="BC93" s="1">
        <v>10</v>
      </c>
      <c r="BD93" s="1">
        <v>63</v>
      </c>
      <c r="BE93" s="1">
        <v>11</v>
      </c>
      <c r="BF93" s="1">
        <v>73</v>
      </c>
      <c r="BG93" s="1">
        <v>19</v>
      </c>
      <c r="BH93" s="1">
        <v>63</v>
      </c>
      <c r="BI93" s="1">
        <v>30</v>
      </c>
      <c r="BJ93" s="1">
        <v>100</v>
      </c>
      <c r="BK93" s="1">
        <v>52</v>
      </c>
      <c r="BL93" s="3">
        <v>81</v>
      </c>
      <c r="BM93" s="1">
        <v>131</v>
      </c>
      <c r="BN93" s="3">
        <v>70</v>
      </c>
      <c r="BO93" s="21">
        <f t="shared" si="11"/>
        <v>64.215686274509807</v>
      </c>
      <c r="BP93" s="1">
        <v>47</v>
      </c>
      <c r="BQ93" s="3">
        <v>90</v>
      </c>
      <c r="BR93" s="53" t="s">
        <v>133</v>
      </c>
      <c r="BS93" s="3">
        <v>2.8</v>
      </c>
      <c r="BT93" s="1">
        <v>30</v>
      </c>
      <c r="BU93" s="3">
        <v>75</v>
      </c>
      <c r="BV93" s="3">
        <v>2.54</v>
      </c>
      <c r="BW93" s="1">
        <v>33</v>
      </c>
      <c r="BX93" s="3">
        <v>83</v>
      </c>
      <c r="BY93" s="137">
        <v>1.27</v>
      </c>
      <c r="BZ93" s="23" t="s">
        <v>134</v>
      </c>
      <c r="CA93" s="23" t="s">
        <v>134</v>
      </c>
      <c r="CB93" s="33">
        <v>16</v>
      </c>
      <c r="CC93" s="34">
        <v>9.1428571428571428E-2</v>
      </c>
      <c r="CD93" s="3">
        <v>94</v>
      </c>
      <c r="CE93" s="3">
        <v>96</v>
      </c>
      <c r="CF93" s="3">
        <v>97</v>
      </c>
      <c r="CG93" s="1">
        <v>100</v>
      </c>
      <c r="CH93" s="1" t="s">
        <v>153</v>
      </c>
      <c r="CI93" s="3" t="s">
        <v>188</v>
      </c>
      <c r="CJ93" s="13"/>
      <c r="CK93" s="13"/>
      <c r="CL93" s="1" t="s">
        <v>138</v>
      </c>
      <c r="CM93" s="3" t="s">
        <v>137</v>
      </c>
      <c r="CN93" s="3" t="s">
        <v>188</v>
      </c>
      <c r="CO93" s="13"/>
      <c r="CP93" s="13"/>
      <c r="CQ93" s="13"/>
      <c r="CR93" s="1" t="s">
        <v>138</v>
      </c>
      <c r="CS93" s="1" t="s">
        <v>138</v>
      </c>
      <c r="CT93" s="1" t="s">
        <v>138</v>
      </c>
      <c r="CU93" s="1" t="s">
        <v>138</v>
      </c>
      <c r="CV93" s="1" t="s">
        <v>138</v>
      </c>
      <c r="CW93" s="1" t="s">
        <v>138</v>
      </c>
      <c r="DJ93" s="3"/>
    </row>
    <row r="94" spans="1:192" ht="60">
      <c r="A94" s="190">
        <v>20071</v>
      </c>
      <c r="B94" s="72" t="s">
        <v>150</v>
      </c>
      <c r="C94" s="3">
        <v>99.3</v>
      </c>
      <c r="D94" s="3">
        <v>10</v>
      </c>
      <c r="E94" s="3">
        <v>10</v>
      </c>
      <c r="F94" s="3">
        <v>20</v>
      </c>
      <c r="G94" s="3">
        <v>9.9499999999999993</v>
      </c>
      <c r="H94" s="3">
        <v>9.9</v>
      </c>
      <c r="I94" s="35">
        <v>9.8000000000000007</v>
      </c>
      <c r="J94" s="3" t="s">
        <v>252</v>
      </c>
      <c r="K94" s="27">
        <v>2.7140000000000001E-2</v>
      </c>
      <c r="L94" s="27">
        <v>3.134E-2</v>
      </c>
      <c r="M94" s="27">
        <v>1.1520000000000001E-2</v>
      </c>
      <c r="N94" s="27">
        <v>2.7140000000000001E-2</v>
      </c>
      <c r="O94" s="27">
        <v>3.134E-2</v>
      </c>
      <c r="P94" s="27">
        <v>1.1520000000000001E-2</v>
      </c>
      <c r="Q94" s="27">
        <v>0.88400000000000001</v>
      </c>
      <c r="R94" s="27">
        <v>5.8000000000000003E-2</v>
      </c>
      <c r="S94" s="27">
        <v>6.0000000000000001E-3</v>
      </c>
      <c r="T94" s="27">
        <v>2.9000000000000001E-2</v>
      </c>
      <c r="U94" s="27">
        <v>1.7000000000000001E-2</v>
      </c>
      <c r="V94" s="27">
        <v>6.0000000000000001E-3</v>
      </c>
      <c r="W94" s="52">
        <v>87</v>
      </c>
      <c r="X94" s="27">
        <v>0.874</v>
      </c>
      <c r="Y94" s="52">
        <v>153</v>
      </c>
      <c r="Z94" s="27">
        <v>5.7000000000000002E-2</v>
      </c>
      <c r="AA94" s="27">
        <v>6.0000000000000001E-3</v>
      </c>
      <c r="AB94" s="27">
        <v>2.9000000000000001E-2</v>
      </c>
      <c r="AC94" s="27">
        <v>1.7000000000000001E-2</v>
      </c>
      <c r="AD94" s="27">
        <f t="shared" si="14"/>
        <v>2.3E-2</v>
      </c>
      <c r="AE94" s="27">
        <v>6.0000000000000001E-3</v>
      </c>
      <c r="AF94" s="3" t="s">
        <v>172</v>
      </c>
      <c r="AG94" s="3" t="s">
        <v>156</v>
      </c>
      <c r="AH94" s="3" t="s">
        <v>253</v>
      </c>
      <c r="AI94" s="3">
        <v>15</v>
      </c>
      <c r="AJ94" s="3">
        <v>53</v>
      </c>
      <c r="AK94" s="3">
        <v>42</v>
      </c>
      <c r="AL94" s="3" t="s">
        <v>158</v>
      </c>
      <c r="AM94" s="3">
        <v>170</v>
      </c>
      <c r="AN94" s="3">
        <v>97</v>
      </c>
      <c r="AO94" s="3">
        <v>44</v>
      </c>
      <c r="AP94" s="3">
        <v>73</v>
      </c>
      <c r="AQ94" s="3">
        <v>38</v>
      </c>
      <c r="AR94" s="3">
        <v>95</v>
      </c>
      <c r="AS94" s="3">
        <v>39</v>
      </c>
      <c r="AT94" s="3">
        <v>98</v>
      </c>
      <c r="AU94" s="3">
        <v>75</v>
      </c>
      <c r="AV94" s="3">
        <v>94</v>
      </c>
      <c r="AW94" s="3">
        <v>74</v>
      </c>
      <c r="AX94" s="3">
        <v>93</v>
      </c>
      <c r="AY94" s="3">
        <f t="shared" si="10"/>
        <v>3.0305646227760237</v>
      </c>
      <c r="AZ94" s="31">
        <f t="shared" si="12"/>
        <v>2.9480572878805074</v>
      </c>
      <c r="BA94" s="3">
        <v>27</v>
      </c>
      <c r="BB94" s="3">
        <v>90</v>
      </c>
      <c r="BC94" s="3">
        <v>14</v>
      </c>
      <c r="BD94" s="3">
        <v>93</v>
      </c>
      <c r="BE94" s="3">
        <v>13</v>
      </c>
      <c r="BF94" s="3">
        <v>87</v>
      </c>
      <c r="BG94" s="3">
        <v>30</v>
      </c>
      <c r="BH94" s="3">
        <v>100</v>
      </c>
      <c r="BI94" s="3">
        <v>30</v>
      </c>
      <c r="BJ94" s="3">
        <v>100</v>
      </c>
      <c r="BK94" s="3">
        <v>54</v>
      </c>
      <c r="BL94" s="3">
        <v>84</v>
      </c>
      <c r="BM94" s="3">
        <v>173</v>
      </c>
      <c r="BN94" s="3">
        <v>86</v>
      </c>
      <c r="BO94" s="21">
        <f t="shared" si="11"/>
        <v>84.803921568627445</v>
      </c>
      <c r="BP94" s="3">
        <v>48</v>
      </c>
      <c r="BQ94" s="3">
        <v>92</v>
      </c>
      <c r="BR94" s="3" t="s">
        <v>133</v>
      </c>
      <c r="BS94" s="3">
        <v>4.8</v>
      </c>
      <c r="BT94" s="3">
        <v>37</v>
      </c>
      <c r="BU94" s="3">
        <v>93</v>
      </c>
      <c r="BV94" s="3">
        <v>3.81</v>
      </c>
      <c r="BW94" s="3">
        <v>40</v>
      </c>
      <c r="BX94" s="3">
        <v>100</v>
      </c>
      <c r="BY94" s="3">
        <v>6.71</v>
      </c>
      <c r="BZ94" s="3" t="s">
        <v>147</v>
      </c>
      <c r="CA94" s="3" t="s">
        <v>147</v>
      </c>
      <c r="CB94" s="33">
        <v>0</v>
      </c>
      <c r="CC94" s="34">
        <v>0</v>
      </c>
      <c r="CD94" s="3">
        <v>99</v>
      </c>
      <c r="CE94" s="3">
        <v>99</v>
      </c>
      <c r="CF94" s="3">
        <v>99</v>
      </c>
      <c r="CG94" s="3">
        <v>50</v>
      </c>
      <c r="CH94" s="3" t="s">
        <v>160</v>
      </c>
      <c r="CI94" s="3" t="s">
        <v>161</v>
      </c>
      <c r="CJ94" s="3" t="s">
        <v>161</v>
      </c>
      <c r="CK94" s="49" t="s">
        <v>163</v>
      </c>
      <c r="CL94" s="1" t="s">
        <v>151</v>
      </c>
      <c r="CM94" s="3" t="s">
        <v>254</v>
      </c>
      <c r="CN94" s="3" t="s">
        <v>161</v>
      </c>
      <c r="CO94" s="3" t="s">
        <v>161</v>
      </c>
      <c r="CP94" s="3" t="s">
        <v>136</v>
      </c>
      <c r="CQ94" s="3">
        <v>1</v>
      </c>
      <c r="CS94" s="1" t="s">
        <v>255</v>
      </c>
      <c r="CT94" s="3" t="s">
        <v>230</v>
      </c>
      <c r="CU94" s="3">
        <v>100</v>
      </c>
      <c r="CV94" s="3">
        <v>100</v>
      </c>
      <c r="CW94" s="3">
        <v>96</v>
      </c>
    </row>
    <row r="95" spans="1:192" ht="60">
      <c r="A95" s="190">
        <v>20072</v>
      </c>
      <c r="B95" s="146" t="s">
        <v>240</v>
      </c>
      <c r="C95" s="3">
        <v>84</v>
      </c>
      <c r="D95" s="1">
        <v>7</v>
      </c>
      <c r="E95" s="3">
        <v>9</v>
      </c>
      <c r="F95" s="1">
        <v>16</v>
      </c>
      <c r="G95" s="3">
        <v>9.1999999999999993</v>
      </c>
      <c r="H95" s="1">
        <v>8.6</v>
      </c>
      <c r="I95" s="15">
        <v>8.1999999999999993</v>
      </c>
      <c r="J95" s="3" t="s">
        <v>128</v>
      </c>
      <c r="K95" s="27">
        <v>3.1480000000000001E-2</v>
      </c>
      <c r="L95" s="27">
        <v>1.8849999999999999E-2</v>
      </c>
      <c r="M95" s="27">
        <v>1.3610000000000001E-2</v>
      </c>
      <c r="N95" s="27">
        <v>3.1480000000000001E-2</v>
      </c>
      <c r="O95" s="27">
        <v>1.8849999999999999E-2</v>
      </c>
      <c r="P95" s="27">
        <v>1.3610000000000001E-2</v>
      </c>
      <c r="Q95" s="27">
        <v>0.82899999999999996</v>
      </c>
      <c r="R95" s="27">
        <v>2.9000000000000001E-2</v>
      </c>
      <c r="S95" s="27">
        <v>6.0000000000000001E-3</v>
      </c>
      <c r="T95" s="27">
        <v>1.2E-2</v>
      </c>
      <c r="U95" s="27">
        <v>0.11799999999999999</v>
      </c>
      <c r="V95" s="27">
        <v>6.0000000000000001E-3</v>
      </c>
      <c r="W95" s="52">
        <v>81</v>
      </c>
      <c r="X95" s="27">
        <v>0.8</v>
      </c>
      <c r="Y95" s="52">
        <v>140</v>
      </c>
      <c r="Z95" s="27">
        <v>2.9000000000000001E-2</v>
      </c>
      <c r="AA95" s="27">
        <v>6.0000000000000001E-3</v>
      </c>
      <c r="AB95" s="27">
        <v>1.0999999999999999E-2</v>
      </c>
      <c r="AC95" s="27">
        <v>0.114</v>
      </c>
      <c r="AD95" s="27">
        <f t="shared" si="14"/>
        <v>0.12000000000000001</v>
      </c>
      <c r="AE95" s="27">
        <v>6.0000000000000001E-3</v>
      </c>
      <c r="AF95" s="1" t="s">
        <v>167</v>
      </c>
      <c r="AG95" s="3" t="s">
        <v>130</v>
      </c>
      <c r="AH95" s="3" t="s">
        <v>146</v>
      </c>
      <c r="AI95" s="3">
        <v>11</v>
      </c>
      <c r="AJ95" s="3">
        <v>67</v>
      </c>
      <c r="AK95" s="3">
        <v>10</v>
      </c>
      <c r="AL95" s="3" t="s">
        <v>132</v>
      </c>
      <c r="AM95" s="1" t="s">
        <v>165</v>
      </c>
      <c r="AN95" s="3" t="s">
        <v>165</v>
      </c>
      <c r="AO95" s="1" t="s">
        <v>165</v>
      </c>
      <c r="AP95" s="3" t="s">
        <v>165</v>
      </c>
      <c r="AQ95" s="1" t="s">
        <v>165</v>
      </c>
      <c r="AR95" s="3" t="s">
        <v>165</v>
      </c>
      <c r="AS95" s="1" t="s">
        <v>165</v>
      </c>
      <c r="AT95" s="3" t="s">
        <v>165</v>
      </c>
      <c r="AU95" s="1" t="s">
        <v>165</v>
      </c>
      <c r="AV95" s="3" t="s">
        <v>165</v>
      </c>
      <c r="AW95" s="1" t="s">
        <v>165</v>
      </c>
      <c r="AX95" s="3" t="s">
        <v>165</v>
      </c>
      <c r="AY95" s="30" t="e">
        <f t="shared" si="10"/>
        <v>#VALUE!</v>
      </c>
      <c r="AZ95" s="31" t="e">
        <f t="shared" si="12"/>
        <v>#VALUE!</v>
      </c>
      <c r="BA95" s="1">
        <v>17</v>
      </c>
      <c r="BB95" s="3">
        <v>57</v>
      </c>
      <c r="BC95" s="1">
        <v>9</v>
      </c>
      <c r="BD95" s="3">
        <v>60</v>
      </c>
      <c r="BE95" s="1">
        <v>8</v>
      </c>
      <c r="BF95" s="3">
        <v>53</v>
      </c>
      <c r="BG95" s="1">
        <v>15</v>
      </c>
      <c r="BH95" s="3">
        <v>50</v>
      </c>
      <c r="BI95" s="1">
        <v>24</v>
      </c>
      <c r="BJ95" s="3">
        <v>80</v>
      </c>
      <c r="BK95" s="1">
        <v>36</v>
      </c>
      <c r="BL95" s="3">
        <v>56</v>
      </c>
      <c r="BM95" s="1">
        <v>85</v>
      </c>
      <c r="BN95" s="3">
        <v>40</v>
      </c>
      <c r="BO95" s="21">
        <f t="shared" si="11"/>
        <v>41.666666666666671</v>
      </c>
      <c r="BP95" s="1">
        <v>38</v>
      </c>
      <c r="BQ95" s="3">
        <v>73</v>
      </c>
      <c r="BR95" s="53" t="s">
        <v>133</v>
      </c>
      <c r="BS95" s="3">
        <v>2.8</v>
      </c>
      <c r="BT95" s="1">
        <v>24</v>
      </c>
      <c r="BU95" s="3">
        <v>60</v>
      </c>
      <c r="BV95" s="3">
        <v>0.5</v>
      </c>
      <c r="BW95" s="1">
        <v>32</v>
      </c>
      <c r="BX95" s="3">
        <v>80</v>
      </c>
      <c r="BY95" s="3">
        <v>1.33</v>
      </c>
      <c r="BZ95" s="3" t="s">
        <v>134</v>
      </c>
      <c r="CA95" s="3" t="s">
        <v>134</v>
      </c>
      <c r="CB95" s="147" t="s">
        <v>256</v>
      </c>
      <c r="CC95" s="147" t="s">
        <v>256</v>
      </c>
      <c r="CD95" s="3" t="s">
        <v>165</v>
      </c>
      <c r="CE95" s="3" t="s">
        <v>165</v>
      </c>
      <c r="CF95" s="3" t="s">
        <v>165</v>
      </c>
      <c r="CG95" s="1">
        <v>100</v>
      </c>
      <c r="CH95" s="5" t="s">
        <v>129</v>
      </c>
      <c r="CI95" s="3" t="s">
        <v>136</v>
      </c>
      <c r="CJ95" s="3" t="s">
        <v>136</v>
      </c>
      <c r="CK95" s="3" t="s">
        <v>136</v>
      </c>
      <c r="CM95" s="3" t="s">
        <v>168</v>
      </c>
      <c r="CN95" s="3" t="s">
        <v>188</v>
      </c>
      <c r="CO95" s="13"/>
      <c r="CP95" s="13"/>
      <c r="CQ95" s="13"/>
      <c r="CR95" s="1" t="s">
        <v>138</v>
      </c>
      <c r="CS95" s="1" t="s">
        <v>138</v>
      </c>
      <c r="CT95" s="1" t="s">
        <v>138</v>
      </c>
      <c r="CU95" s="1" t="s">
        <v>138</v>
      </c>
      <c r="CV95" s="1" t="s">
        <v>138</v>
      </c>
      <c r="CW95" s="1" t="s">
        <v>138</v>
      </c>
    </row>
    <row r="96" spans="1:192" ht="60">
      <c r="A96" s="190">
        <v>20073</v>
      </c>
      <c r="B96" s="51" t="s">
        <v>127</v>
      </c>
      <c r="C96" s="3">
        <v>22.4</v>
      </c>
      <c r="D96" s="1">
        <v>3</v>
      </c>
      <c r="E96" s="3">
        <v>0</v>
      </c>
      <c r="F96" s="1">
        <v>3</v>
      </c>
      <c r="G96" s="3">
        <v>3</v>
      </c>
      <c r="H96" s="1">
        <v>0.3</v>
      </c>
      <c r="I96" s="1">
        <v>0.6</v>
      </c>
      <c r="J96" s="3" t="s">
        <v>210</v>
      </c>
      <c r="K96" s="27" t="s">
        <v>165</v>
      </c>
      <c r="L96" s="27" t="s">
        <v>165</v>
      </c>
      <c r="M96" s="27" t="s">
        <v>165</v>
      </c>
      <c r="N96" s="27" t="s">
        <v>165</v>
      </c>
      <c r="O96" s="27" t="s">
        <v>165</v>
      </c>
      <c r="P96" s="27" t="s">
        <v>165</v>
      </c>
      <c r="Q96" s="27" t="s">
        <v>165</v>
      </c>
      <c r="R96" s="27" t="s">
        <v>165</v>
      </c>
      <c r="S96" s="27" t="s">
        <v>165</v>
      </c>
      <c r="T96" s="27" t="s">
        <v>165</v>
      </c>
      <c r="U96" s="27" t="s">
        <v>165</v>
      </c>
      <c r="V96" s="27" t="s">
        <v>165</v>
      </c>
      <c r="W96" s="3" t="s">
        <v>165</v>
      </c>
      <c r="X96" s="27" t="s">
        <v>165</v>
      </c>
      <c r="Y96" s="52" t="s">
        <v>165</v>
      </c>
      <c r="Z96" s="27" t="s">
        <v>165</v>
      </c>
      <c r="AA96" s="27" t="s">
        <v>165</v>
      </c>
      <c r="AB96" s="27" t="s">
        <v>165</v>
      </c>
      <c r="AC96" s="27" t="s">
        <v>165</v>
      </c>
      <c r="AD96" s="27" t="e">
        <f t="shared" si="14"/>
        <v>#VALUE!</v>
      </c>
      <c r="AE96" s="27" t="s">
        <v>165</v>
      </c>
      <c r="AF96" s="1" t="s">
        <v>167</v>
      </c>
      <c r="AG96" s="3" t="s">
        <v>130</v>
      </c>
      <c r="AH96" s="3" t="s">
        <v>146</v>
      </c>
      <c r="AI96" s="3">
        <v>18</v>
      </c>
      <c r="AJ96" s="3">
        <v>65</v>
      </c>
      <c r="AK96" s="3">
        <v>28</v>
      </c>
      <c r="AL96" s="3" t="s">
        <v>132</v>
      </c>
      <c r="AM96" s="1" t="s">
        <v>165</v>
      </c>
      <c r="AN96" s="3" t="s">
        <v>165</v>
      </c>
      <c r="AO96" s="1" t="s">
        <v>165</v>
      </c>
      <c r="AP96" s="3" t="s">
        <v>165</v>
      </c>
      <c r="AQ96" s="1">
        <v>33</v>
      </c>
      <c r="AR96" s="3">
        <v>83</v>
      </c>
      <c r="AS96" s="1">
        <v>28</v>
      </c>
      <c r="AT96" s="3">
        <v>70</v>
      </c>
      <c r="AU96" s="1">
        <v>68</v>
      </c>
      <c r="AV96" s="3">
        <v>85</v>
      </c>
      <c r="AW96" s="1">
        <v>67</v>
      </c>
      <c r="AX96" s="3">
        <v>84</v>
      </c>
      <c r="AY96" s="30">
        <f t="shared" si="10"/>
        <v>2.0308912727035393</v>
      </c>
      <c r="AZ96" s="31">
        <f t="shared" si="12"/>
        <v>1.9954274238817793</v>
      </c>
      <c r="BA96" s="1">
        <v>17</v>
      </c>
      <c r="BB96" s="3">
        <v>57</v>
      </c>
      <c r="BC96" s="1">
        <v>10</v>
      </c>
      <c r="BD96" s="3">
        <v>67</v>
      </c>
      <c r="BE96" s="1">
        <v>7</v>
      </c>
      <c r="BF96" s="3">
        <v>47</v>
      </c>
      <c r="BG96" s="1">
        <v>13</v>
      </c>
      <c r="BH96" s="3">
        <v>43</v>
      </c>
      <c r="BI96" s="1">
        <v>22</v>
      </c>
      <c r="BJ96" s="3">
        <v>73</v>
      </c>
      <c r="BK96" s="1">
        <v>54</v>
      </c>
      <c r="BL96" s="3">
        <v>84</v>
      </c>
      <c r="BM96" s="1">
        <v>105</v>
      </c>
      <c r="BN96" s="3">
        <v>53</v>
      </c>
      <c r="BO96" s="21">
        <f t="shared" si="11"/>
        <v>51.470588235294116</v>
      </c>
      <c r="BP96" s="1">
        <v>49</v>
      </c>
      <c r="BQ96" s="3">
        <v>94</v>
      </c>
      <c r="BR96" s="53" t="s">
        <v>133</v>
      </c>
      <c r="BS96" s="3" t="s">
        <v>165</v>
      </c>
      <c r="BT96" s="1">
        <v>31</v>
      </c>
      <c r="BU96" s="3">
        <v>78</v>
      </c>
      <c r="BV96" s="3">
        <v>1.375</v>
      </c>
      <c r="BW96" s="1">
        <v>30</v>
      </c>
      <c r="BX96" s="3">
        <v>75</v>
      </c>
      <c r="BY96" s="3">
        <v>1</v>
      </c>
      <c r="BZ96" s="3" t="s">
        <v>257</v>
      </c>
      <c r="CA96" s="3" t="s">
        <v>257</v>
      </c>
      <c r="CB96" s="147" t="s">
        <v>258</v>
      </c>
      <c r="CC96" s="147" t="s">
        <v>258</v>
      </c>
      <c r="CD96" s="3">
        <v>71</v>
      </c>
      <c r="CE96" s="3">
        <v>75</v>
      </c>
      <c r="CF96" s="3">
        <v>92</v>
      </c>
      <c r="CG96" s="1">
        <v>80</v>
      </c>
      <c r="CH96" s="5" t="s">
        <v>140</v>
      </c>
      <c r="CI96" s="3" t="s">
        <v>188</v>
      </c>
      <c r="CJ96" s="13"/>
      <c r="CK96" s="13"/>
      <c r="CL96" s="1" t="s">
        <v>234</v>
      </c>
      <c r="CM96" s="3" t="s">
        <v>168</v>
      </c>
      <c r="CN96" s="3" t="s">
        <v>188</v>
      </c>
      <c r="CO96" s="13"/>
      <c r="CP96" s="13"/>
      <c r="CQ96" s="13"/>
      <c r="CR96" s="1" t="s">
        <v>234</v>
      </c>
      <c r="CS96" s="1" t="s">
        <v>138</v>
      </c>
      <c r="CT96" s="1" t="s">
        <v>138</v>
      </c>
      <c r="CU96" s="1" t="s">
        <v>138</v>
      </c>
      <c r="CV96" s="1" t="s">
        <v>138</v>
      </c>
      <c r="CW96" s="1" t="s">
        <v>138</v>
      </c>
      <c r="DJ96" s="3"/>
    </row>
    <row r="97" spans="1:192" s="10" customFormat="1" ht="60">
      <c r="A97" s="190">
        <v>20074</v>
      </c>
      <c r="B97" s="23" t="s">
        <v>127</v>
      </c>
      <c r="C97" s="3">
        <v>92.2</v>
      </c>
      <c r="D97" s="1">
        <v>9</v>
      </c>
      <c r="E97" s="3">
        <v>9</v>
      </c>
      <c r="F97" s="1">
        <v>18</v>
      </c>
      <c r="G97" s="3">
        <v>9.8000000000000007</v>
      </c>
      <c r="H97" s="1">
        <v>8.3000000000000007</v>
      </c>
      <c r="I97" s="1">
        <v>10</v>
      </c>
      <c r="J97" s="1" t="s">
        <v>128</v>
      </c>
      <c r="K97" s="26">
        <v>3.7719999999999997E-2</v>
      </c>
      <c r="L97" s="26">
        <v>2.002E-2</v>
      </c>
      <c r="M97" s="26">
        <v>1.406E-2</v>
      </c>
      <c r="N97" s="27">
        <v>3.7719999999999997E-2</v>
      </c>
      <c r="O97" s="27">
        <v>2.002E-2</v>
      </c>
      <c r="P97" s="27">
        <v>1.406E-2</v>
      </c>
      <c r="Q97" s="27">
        <v>0.90100000000000002</v>
      </c>
      <c r="R97" s="27">
        <v>0</v>
      </c>
      <c r="S97" s="27">
        <v>2.3E-2</v>
      </c>
      <c r="T97" s="27">
        <v>1.7999999999999999E-2</v>
      </c>
      <c r="U97" s="27">
        <v>5.8000000000000003E-2</v>
      </c>
      <c r="V97" s="27">
        <v>0</v>
      </c>
      <c r="W97" s="52">
        <v>88</v>
      </c>
      <c r="X97" s="18">
        <v>0.88</v>
      </c>
      <c r="Y97" s="28">
        <v>154</v>
      </c>
      <c r="Z97" s="27">
        <v>0</v>
      </c>
      <c r="AA97" s="27">
        <v>2.3E-2</v>
      </c>
      <c r="AB97" s="27">
        <v>1.7000000000000001E-2</v>
      </c>
      <c r="AC97" s="27">
        <v>5.7000000000000002E-2</v>
      </c>
      <c r="AD97" s="27">
        <f t="shared" si="14"/>
        <v>0.08</v>
      </c>
      <c r="AE97" s="27">
        <v>0</v>
      </c>
      <c r="AF97" s="1" t="s">
        <v>167</v>
      </c>
      <c r="AG97" s="3" t="s">
        <v>130</v>
      </c>
      <c r="AH97" s="3" t="s">
        <v>259</v>
      </c>
      <c r="AI97" s="3">
        <v>15</v>
      </c>
      <c r="AJ97" s="3">
        <v>38</v>
      </c>
      <c r="AK97" s="3">
        <v>290</v>
      </c>
      <c r="AL97" s="3" t="s">
        <v>260</v>
      </c>
      <c r="AM97" s="1">
        <v>162</v>
      </c>
      <c r="AN97" s="3">
        <v>93</v>
      </c>
      <c r="AO97" s="1">
        <v>40</v>
      </c>
      <c r="AP97" s="3">
        <v>67</v>
      </c>
      <c r="AQ97" s="1">
        <v>37</v>
      </c>
      <c r="AR97" s="3">
        <v>93</v>
      </c>
      <c r="AS97" s="1">
        <v>31</v>
      </c>
      <c r="AT97" s="3">
        <v>78</v>
      </c>
      <c r="AU97" s="1">
        <v>68</v>
      </c>
      <c r="AV97" s="3">
        <v>85</v>
      </c>
      <c r="AW97" s="1">
        <v>74</v>
      </c>
      <c r="AX97" s="3">
        <v>93</v>
      </c>
      <c r="AY97" s="30">
        <f t="shared" si="10"/>
        <v>2.5122244176729609</v>
      </c>
      <c r="AZ97" s="31">
        <f t="shared" si="12"/>
        <v>2.4554302374648991</v>
      </c>
      <c r="BA97" s="1">
        <v>26</v>
      </c>
      <c r="BB97" s="3">
        <v>87</v>
      </c>
      <c r="BC97" s="1">
        <v>12</v>
      </c>
      <c r="BD97" s="3">
        <v>88</v>
      </c>
      <c r="BE97" s="1">
        <v>14</v>
      </c>
      <c r="BF97" s="3">
        <v>93</v>
      </c>
      <c r="BG97" s="1">
        <v>28</v>
      </c>
      <c r="BH97" s="3">
        <v>93</v>
      </c>
      <c r="BI97" s="1">
        <v>30</v>
      </c>
      <c r="BJ97" s="3">
        <v>100</v>
      </c>
      <c r="BK97" s="1">
        <v>59</v>
      </c>
      <c r="BL97" s="3">
        <v>92</v>
      </c>
      <c r="BM97" s="1">
        <v>169</v>
      </c>
      <c r="BN97" s="3">
        <v>87</v>
      </c>
      <c r="BO97" s="21">
        <f t="shared" si="11"/>
        <v>82.843137254901961</v>
      </c>
      <c r="BP97" s="1">
        <v>50</v>
      </c>
      <c r="BQ97" s="3">
        <v>96</v>
      </c>
      <c r="BR97" s="53" t="s">
        <v>133</v>
      </c>
      <c r="BS97" s="3">
        <v>2.8</v>
      </c>
      <c r="BT97" s="1">
        <v>34</v>
      </c>
      <c r="BU97" s="3">
        <v>85</v>
      </c>
      <c r="BV97" s="3">
        <v>2</v>
      </c>
      <c r="BW97" s="1">
        <v>38</v>
      </c>
      <c r="BX97" s="3">
        <v>95</v>
      </c>
      <c r="BY97" s="3">
        <v>4</v>
      </c>
      <c r="BZ97" s="23" t="s">
        <v>134</v>
      </c>
      <c r="CA97" s="23" t="s">
        <v>134</v>
      </c>
      <c r="CB97" s="33">
        <v>0</v>
      </c>
      <c r="CC97" s="34">
        <v>0</v>
      </c>
      <c r="CD97" s="3">
        <v>93</v>
      </c>
      <c r="CE97" s="3">
        <v>96</v>
      </c>
      <c r="CF97" s="3">
        <v>94</v>
      </c>
      <c r="CG97" s="1">
        <v>100</v>
      </c>
      <c r="CH97" s="1" t="s">
        <v>153</v>
      </c>
      <c r="CI97" s="3" t="s">
        <v>188</v>
      </c>
      <c r="CJ97" s="13"/>
      <c r="CK97" s="13"/>
      <c r="CL97" s="1" t="s">
        <v>138</v>
      </c>
      <c r="CM97" s="3" t="s">
        <v>218</v>
      </c>
      <c r="CN97" s="3" t="s">
        <v>188</v>
      </c>
      <c r="CO97" s="13"/>
      <c r="CP97" s="13"/>
      <c r="CQ97" s="13"/>
      <c r="CR97" s="1" t="s">
        <v>138</v>
      </c>
      <c r="CS97" s="1" t="s">
        <v>138</v>
      </c>
      <c r="CT97" s="1" t="s">
        <v>138</v>
      </c>
      <c r="CU97" s="1" t="s">
        <v>138</v>
      </c>
      <c r="CV97" s="1" t="s">
        <v>138</v>
      </c>
      <c r="CW97" s="1" t="s">
        <v>138</v>
      </c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</row>
    <row r="98" spans="1:192" ht="60">
      <c r="A98" s="190">
        <v>20075</v>
      </c>
      <c r="B98" s="23" t="s">
        <v>166</v>
      </c>
      <c r="C98" s="3">
        <v>88.8</v>
      </c>
      <c r="D98" s="1">
        <v>10</v>
      </c>
      <c r="E98" s="3">
        <v>9</v>
      </c>
      <c r="F98" s="1">
        <v>19</v>
      </c>
      <c r="G98" s="3">
        <v>9.6</v>
      </c>
      <c r="H98" s="1">
        <v>7.3</v>
      </c>
      <c r="I98" s="15">
        <v>8.5</v>
      </c>
      <c r="J98" s="1" t="s">
        <v>128</v>
      </c>
      <c r="K98" s="26">
        <v>2.606E-2</v>
      </c>
      <c r="L98" s="26">
        <v>2.2769999999999999E-2</v>
      </c>
      <c r="M98" s="26">
        <v>2.4680000000000001E-2</v>
      </c>
      <c r="N98" s="27">
        <v>2.606E-2</v>
      </c>
      <c r="O98" s="27">
        <v>2.2769999999999999E-2</v>
      </c>
      <c r="P98" s="27">
        <v>2.4680000000000001E-2</v>
      </c>
      <c r="Q98" s="27">
        <v>0.85599999999999998</v>
      </c>
      <c r="R98" s="27">
        <v>2.3E-2</v>
      </c>
      <c r="S98" s="27">
        <v>1.0999999999999999E-2</v>
      </c>
      <c r="T98" s="27">
        <v>1.0999999999999999E-2</v>
      </c>
      <c r="U98" s="27">
        <v>0.08</v>
      </c>
      <c r="V98" s="27">
        <v>1.7000000000000001E-2</v>
      </c>
      <c r="W98" s="52">
        <v>85</v>
      </c>
      <c r="X98" s="18">
        <v>0.85142857142857142</v>
      </c>
      <c r="Y98" s="28">
        <v>149</v>
      </c>
      <c r="Z98" s="27">
        <v>2.3E-2</v>
      </c>
      <c r="AA98" s="27">
        <v>1.0999999999999999E-2</v>
      </c>
      <c r="AB98" s="27">
        <v>1.0999999999999999E-2</v>
      </c>
      <c r="AC98" s="27">
        <v>0.08</v>
      </c>
      <c r="AD98" s="27">
        <f t="shared" si="14"/>
        <v>9.0999999999999998E-2</v>
      </c>
      <c r="AE98" s="27">
        <v>1.7000000000000001E-2</v>
      </c>
      <c r="AF98" s="1" t="s">
        <v>129</v>
      </c>
      <c r="AG98" s="3" t="s">
        <v>130</v>
      </c>
      <c r="AH98" s="3" t="s">
        <v>146</v>
      </c>
      <c r="AI98" s="3">
        <v>15</v>
      </c>
      <c r="AJ98" s="3">
        <v>58</v>
      </c>
      <c r="AK98" s="3">
        <v>2</v>
      </c>
      <c r="AL98" s="3" t="s">
        <v>132</v>
      </c>
      <c r="AM98" s="1">
        <v>165</v>
      </c>
      <c r="AN98" s="3">
        <v>94</v>
      </c>
      <c r="AO98" s="1">
        <v>4</v>
      </c>
      <c r="AP98" s="3">
        <v>7</v>
      </c>
      <c r="AQ98" s="1">
        <v>14</v>
      </c>
      <c r="AR98" s="3">
        <v>70</v>
      </c>
      <c r="AS98" s="1">
        <v>14</v>
      </c>
      <c r="AT98" s="3">
        <v>70</v>
      </c>
      <c r="AU98" s="1">
        <v>70</v>
      </c>
      <c r="AV98" s="3">
        <v>88</v>
      </c>
      <c r="AW98" s="1">
        <v>71</v>
      </c>
      <c r="AX98" s="3">
        <v>89</v>
      </c>
      <c r="AY98" s="30">
        <f t="shared" si="10"/>
        <v>2.4015149121027006</v>
      </c>
      <c r="AZ98" s="31">
        <f t="shared" si="12"/>
        <v>2.3531634674084758</v>
      </c>
      <c r="BA98" s="1">
        <v>30</v>
      </c>
      <c r="BB98" s="3">
        <v>100</v>
      </c>
      <c r="BC98" s="1">
        <v>15</v>
      </c>
      <c r="BD98" s="3">
        <v>100</v>
      </c>
      <c r="BE98" s="1">
        <v>15</v>
      </c>
      <c r="BF98" s="3">
        <v>100</v>
      </c>
      <c r="BG98" s="1">
        <v>25</v>
      </c>
      <c r="BH98" s="3">
        <v>83</v>
      </c>
      <c r="BI98" s="1">
        <v>28</v>
      </c>
      <c r="BJ98" s="3">
        <v>93</v>
      </c>
      <c r="BK98" s="1">
        <v>61</v>
      </c>
      <c r="BL98" s="3">
        <v>95</v>
      </c>
      <c r="BM98" s="1">
        <v>176</v>
      </c>
      <c r="BN98" s="3">
        <v>88</v>
      </c>
      <c r="BO98" s="21">
        <f t="shared" si="11"/>
        <v>86.274509803921575</v>
      </c>
      <c r="BP98" s="1">
        <v>49</v>
      </c>
      <c r="BQ98" s="3">
        <v>94</v>
      </c>
      <c r="BR98" s="53" t="s">
        <v>133</v>
      </c>
      <c r="BS98" s="3">
        <v>2.8</v>
      </c>
      <c r="BT98" s="1">
        <v>39</v>
      </c>
      <c r="BU98" s="3">
        <v>98</v>
      </c>
      <c r="BV98" s="3">
        <v>5</v>
      </c>
      <c r="BW98" s="1">
        <v>36</v>
      </c>
      <c r="BX98" s="3">
        <v>90</v>
      </c>
      <c r="BY98" s="3">
        <v>4</v>
      </c>
      <c r="BZ98" s="23" t="s">
        <v>134</v>
      </c>
      <c r="CA98" s="23" t="s">
        <v>134</v>
      </c>
      <c r="CB98" s="33">
        <v>2</v>
      </c>
      <c r="CC98" s="34">
        <v>1.1428571428571429E-2</v>
      </c>
      <c r="CD98" s="3">
        <v>94</v>
      </c>
      <c r="CE98" s="3">
        <v>95</v>
      </c>
      <c r="CF98" s="3">
        <v>96</v>
      </c>
      <c r="CG98" s="1">
        <v>100</v>
      </c>
      <c r="CH98" s="1" t="s">
        <v>140</v>
      </c>
      <c r="CI98" s="3" t="s">
        <v>136</v>
      </c>
      <c r="CJ98" s="3" t="s">
        <v>136</v>
      </c>
      <c r="CK98" s="49" t="s">
        <v>142</v>
      </c>
      <c r="CM98" s="3" t="s">
        <v>168</v>
      </c>
      <c r="CN98" s="3" t="s">
        <v>188</v>
      </c>
      <c r="CO98" s="13"/>
      <c r="CP98" s="13"/>
      <c r="CQ98" s="13"/>
      <c r="CR98" s="1" t="s">
        <v>138</v>
      </c>
      <c r="CS98" s="1" t="s">
        <v>138</v>
      </c>
      <c r="CT98" s="1" t="s">
        <v>138</v>
      </c>
      <c r="CU98" s="1" t="s">
        <v>138</v>
      </c>
      <c r="CV98" s="1" t="s">
        <v>138</v>
      </c>
      <c r="CW98" s="1" t="s">
        <v>138</v>
      </c>
    </row>
    <row r="99" spans="1:192" s="8" customFormat="1" ht="45">
      <c r="A99" s="190">
        <v>20075</v>
      </c>
      <c r="B99" s="36" t="s">
        <v>166</v>
      </c>
      <c r="C99" s="2">
        <v>90.4</v>
      </c>
      <c r="D99" s="2">
        <v>9</v>
      </c>
      <c r="E99" s="2">
        <v>9</v>
      </c>
      <c r="F99" s="2">
        <v>18</v>
      </c>
      <c r="G99" s="2">
        <v>10</v>
      </c>
      <c r="H99" s="2">
        <v>7.7</v>
      </c>
      <c r="I99" s="35">
        <v>9.5</v>
      </c>
      <c r="J99" s="2" t="s">
        <v>128</v>
      </c>
      <c r="K99" s="148">
        <v>3.8719999999999997E-2</v>
      </c>
      <c r="L99" s="148">
        <v>2.044E-2</v>
      </c>
      <c r="M99" s="148">
        <v>1.3390000000000001E-2</v>
      </c>
      <c r="N99" s="148">
        <v>3.8719999999999997E-2</v>
      </c>
      <c r="O99" s="148">
        <v>2.044E-2</v>
      </c>
      <c r="P99" s="148">
        <v>1.3390000000000001E-2</v>
      </c>
      <c r="Q99" s="148">
        <v>0.92</v>
      </c>
      <c r="R99" s="148">
        <v>1.0999999999999999E-2</v>
      </c>
      <c r="S99" s="148">
        <v>2.3E-2</v>
      </c>
      <c r="T99" s="148">
        <v>0</v>
      </c>
      <c r="U99" s="148">
        <v>4.5999999999999999E-2</v>
      </c>
      <c r="V99" s="148">
        <v>0</v>
      </c>
      <c r="W99" s="57">
        <v>92</v>
      </c>
      <c r="X99" s="148">
        <v>0.92</v>
      </c>
      <c r="Y99" s="57">
        <v>161</v>
      </c>
      <c r="Z99" s="148">
        <v>1.0999999999999999E-2</v>
      </c>
      <c r="AA99" s="148">
        <v>2.3E-2</v>
      </c>
      <c r="AB99" s="148">
        <v>0</v>
      </c>
      <c r="AC99" s="148">
        <v>4.5999999999999999E-2</v>
      </c>
      <c r="AD99" s="148">
        <v>6.9000000000000006E-2</v>
      </c>
      <c r="AE99" s="148">
        <v>0</v>
      </c>
      <c r="AF99" s="148" t="s">
        <v>129</v>
      </c>
      <c r="AG99" s="39" t="s">
        <v>130</v>
      </c>
      <c r="AH99" s="2" t="s">
        <v>146</v>
      </c>
      <c r="AI99" s="2">
        <v>15</v>
      </c>
      <c r="AJ99" s="2">
        <v>58</v>
      </c>
      <c r="AK99" s="2">
        <v>7</v>
      </c>
      <c r="AL99" s="2" t="s">
        <v>132</v>
      </c>
      <c r="AM99" s="39">
        <v>166</v>
      </c>
      <c r="AN99" s="2">
        <v>95</v>
      </c>
      <c r="AO99" s="39">
        <v>16</v>
      </c>
      <c r="AP99" s="2">
        <v>27</v>
      </c>
      <c r="AQ99" s="2">
        <v>38</v>
      </c>
      <c r="AR99" s="2">
        <v>95</v>
      </c>
      <c r="AS99" s="2">
        <v>35</v>
      </c>
      <c r="AT99" s="2">
        <v>88</v>
      </c>
      <c r="AU99" s="2">
        <v>74</v>
      </c>
      <c r="AV99" s="2">
        <v>93</v>
      </c>
      <c r="AW99" s="2">
        <v>70</v>
      </c>
      <c r="AX99" s="2">
        <v>88</v>
      </c>
      <c r="AY99" s="46">
        <f t="shared" si="10"/>
        <v>2.6507778202452617</v>
      </c>
      <c r="AZ99" s="31">
        <f t="shared" si="12"/>
        <v>2.5892045259294596</v>
      </c>
      <c r="BA99" s="2">
        <v>29</v>
      </c>
      <c r="BB99" s="2">
        <v>97</v>
      </c>
      <c r="BC99" s="2">
        <v>15</v>
      </c>
      <c r="BD99" s="2">
        <v>100</v>
      </c>
      <c r="BE99" s="2">
        <v>14</v>
      </c>
      <c r="BF99" s="2">
        <v>93</v>
      </c>
      <c r="BG99" s="2">
        <v>29</v>
      </c>
      <c r="BH99" s="2">
        <v>97</v>
      </c>
      <c r="BI99" s="2">
        <v>29</v>
      </c>
      <c r="BJ99" s="2">
        <v>97</v>
      </c>
      <c r="BK99" s="2">
        <v>61</v>
      </c>
      <c r="BL99" s="2">
        <v>95</v>
      </c>
      <c r="BM99" s="2">
        <v>181</v>
      </c>
      <c r="BN99" s="2">
        <v>92</v>
      </c>
      <c r="BO99" s="149">
        <f t="shared" si="11"/>
        <v>88.725490196078425</v>
      </c>
      <c r="BP99" s="2">
        <v>51</v>
      </c>
      <c r="BQ99" s="2">
        <v>98</v>
      </c>
      <c r="BR99" s="2" t="s">
        <v>165</v>
      </c>
      <c r="BS99" s="2">
        <v>3.2</v>
      </c>
      <c r="BT99" s="2">
        <v>38</v>
      </c>
      <c r="BU99" s="2">
        <v>95</v>
      </c>
      <c r="BV99" s="2">
        <v>4.5999999999999996</v>
      </c>
      <c r="BW99" s="2">
        <v>37</v>
      </c>
      <c r="BX99" s="2">
        <v>93</v>
      </c>
      <c r="BY99" s="2">
        <v>3</v>
      </c>
      <c r="BZ99" s="2" t="s">
        <v>134</v>
      </c>
      <c r="CA99" s="2" t="s">
        <v>134</v>
      </c>
      <c r="CB99" s="48">
        <v>0</v>
      </c>
      <c r="CC99" s="48">
        <v>0</v>
      </c>
      <c r="CD99" s="2">
        <v>99</v>
      </c>
      <c r="CE99" s="2">
        <v>99</v>
      </c>
      <c r="CF99" s="2">
        <v>100</v>
      </c>
      <c r="CG99" s="2">
        <v>80</v>
      </c>
      <c r="CH99" s="2" t="s">
        <v>140</v>
      </c>
      <c r="CI99" s="2" t="s">
        <v>136</v>
      </c>
      <c r="CJ99" s="49" t="s">
        <v>141</v>
      </c>
      <c r="CK99" s="49" t="s">
        <v>142</v>
      </c>
      <c r="CL99" s="2"/>
      <c r="CM99" s="2" t="s">
        <v>261</v>
      </c>
      <c r="CN99" s="2" t="s">
        <v>174</v>
      </c>
      <c r="CO99" s="2"/>
      <c r="CP99" s="2"/>
      <c r="CQ99" s="2"/>
      <c r="CR99" s="2"/>
      <c r="CS99" s="150" t="s">
        <v>262</v>
      </c>
      <c r="CT99" s="150" t="s">
        <v>262</v>
      </c>
      <c r="CU99" s="150" t="s">
        <v>262</v>
      </c>
      <c r="CV99" s="150" t="s">
        <v>262</v>
      </c>
      <c r="CW99" s="150" t="s">
        <v>262</v>
      </c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35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</row>
    <row r="100" spans="1:192" ht="60">
      <c r="A100" s="190">
        <v>20076</v>
      </c>
      <c r="B100" s="23" t="s">
        <v>166</v>
      </c>
      <c r="C100" s="3">
        <v>83.7</v>
      </c>
      <c r="D100" s="1">
        <v>8</v>
      </c>
      <c r="E100" s="3">
        <v>9</v>
      </c>
      <c r="F100" s="1">
        <v>17</v>
      </c>
      <c r="G100" s="3">
        <v>9.25</v>
      </c>
      <c r="H100" s="1">
        <v>8.4</v>
      </c>
      <c r="I100" s="15">
        <v>7.2</v>
      </c>
      <c r="J100" s="3" t="s">
        <v>128</v>
      </c>
      <c r="K100" s="26">
        <v>8.6209999999999995E-2</v>
      </c>
      <c r="L100" s="26">
        <v>1.2239999999999999E-2</v>
      </c>
      <c r="M100" s="26">
        <v>4.9399999999999999E-3</v>
      </c>
      <c r="N100" s="74">
        <v>3.5999999999999997E-2</v>
      </c>
      <c r="O100" s="74">
        <v>2.5000000000000001E-2</v>
      </c>
      <c r="P100" s="74">
        <v>5.0000000000000001E-3</v>
      </c>
      <c r="Q100" s="27">
        <v>0.92600000000000005</v>
      </c>
      <c r="R100" s="27">
        <v>2.5000000000000001E-2</v>
      </c>
      <c r="S100" s="27">
        <v>0</v>
      </c>
      <c r="T100" s="27">
        <v>1.9E-2</v>
      </c>
      <c r="U100" s="27">
        <v>3.1E-2</v>
      </c>
      <c r="V100" s="27">
        <v>0</v>
      </c>
      <c r="W100" s="52">
        <v>86</v>
      </c>
      <c r="X100" s="27">
        <v>0.8571428571428571</v>
      </c>
      <c r="Y100" s="52">
        <v>150</v>
      </c>
      <c r="Z100" s="27">
        <v>2.3E-2</v>
      </c>
      <c r="AA100" s="27">
        <v>0</v>
      </c>
      <c r="AB100" s="27">
        <v>1.7000000000000001E-2</v>
      </c>
      <c r="AC100" s="27">
        <v>2.9000000000000001E-2</v>
      </c>
      <c r="AD100" s="27">
        <f t="shared" ref="AD100:AD106" si="15">AC100+AA100</f>
        <v>2.9000000000000001E-2</v>
      </c>
      <c r="AE100" s="27">
        <v>0</v>
      </c>
      <c r="AF100" s="1" t="s">
        <v>129</v>
      </c>
      <c r="AG100" s="3" t="s">
        <v>130</v>
      </c>
      <c r="AH100" s="3" t="s">
        <v>131</v>
      </c>
      <c r="AI100" s="3">
        <v>14</v>
      </c>
      <c r="AJ100" s="3">
        <v>59</v>
      </c>
      <c r="AK100" s="3">
        <v>2</v>
      </c>
      <c r="AL100" s="3" t="s">
        <v>132</v>
      </c>
      <c r="AM100" s="1">
        <v>110</v>
      </c>
      <c r="AN100" s="125" t="s">
        <v>165</v>
      </c>
      <c r="AO100" s="1">
        <v>3</v>
      </c>
      <c r="AP100" s="125" t="s">
        <v>165</v>
      </c>
      <c r="AQ100" s="1">
        <v>34</v>
      </c>
      <c r="AR100" s="125" t="s">
        <v>165</v>
      </c>
      <c r="AS100" s="1">
        <v>27</v>
      </c>
      <c r="AT100" s="125" t="s">
        <v>165</v>
      </c>
      <c r="AU100" s="1">
        <v>76</v>
      </c>
      <c r="AV100" s="125" t="s">
        <v>165</v>
      </c>
      <c r="AW100" s="1">
        <v>33</v>
      </c>
      <c r="AX100" s="125" t="s">
        <v>165</v>
      </c>
      <c r="AY100" s="30" t="e">
        <f t="shared" si="10"/>
        <v>#VALUE!</v>
      </c>
      <c r="AZ100" s="31" t="e">
        <f t="shared" si="12"/>
        <v>#VALUE!</v>
      </c>
      <c r="BA100" s="1">
        <v>22</v>
      </c>
      <c r="BB100" s="3">
        <v>73</v>
      </c>
      <c r="BC100" s="1">
        <v>11</v>
      </c>
      <c r="BD100" s="3">
        <v>73</v>
      </c>
      <c r="BE100" s="1">
        <v>11</v>
      </c>
      <c r="BF100" s="3">
        <v>73</v>
      </c>
      <c r="BG100" s="1">
        <v>21</v>
      </c>
      <c r="BH100" s="3">
        <v>70</v>
      </c>
      <c r="BI100" s="1">
        <v>28</v>
      </c>
      <c r="BJ100" s="3">
        <v>93</v>
      </c>
      <c r="BK100" s="1">
        <v>40</v>
      </c>
      <c r="BL100" s="3">
        <v>63</v>
      </c>
      <c r="BM100" s="1">
        <v>136</v>
      </c>
      <c r="BN100" s="3">
        <v>71</v>
      </c>
      <c r="BO100" s="21">
        <f t="shared" si="11"/>
        <v>66.666666666666657</v>
      </c>
      <c r="BP100" s="1">
        <v>42</v>
      </c>
      <c r="BQ100" s="3">
        <v>81</v>
      </c>
      <c r="BR100" s="53" t="s">
        <v>133</v>
      </c>
      <c r="BS100" s="3">
        <v>3.2</v>
      </c>
      <c r="BT100" s="1">
        <v>32</v>
      </c>
      <c r="BU100" s="3">
        <v>80</v>
      </c>
      <c r="BV100" s="3">
        <v>1.25</v>
      </c>
      <c r="BW100" s="1">
        <v>38</v>
      </c>
      <c r="BX100" s="3">
        <v>95</v>
      </c>
      <c r="BY100" s="3">
        <v>2.38</v>
      </c>
      <c r="BZ100" s="23" t="s">
        <v>134</v>
      </c>
      <c r="CA100" s="23" t="s">
        <v>134</v>
      </c>
      <c r="CB100" s="147" t="s">
        <v>256</v>
      </c>
      <c r="CC100" s="147" t="s">
        <v>256</v>
      </c>
      <c r="CD100" s="125" t="s">
        <v>165</v>
      </c>
      <c r="CE100" s="125" t="s">
        <v>165</v>
      </c>
      <c r="CF100" s="125" t="s">
        <v>165</v>
      </c>
      <c r="CG100" s="1">
        <v>100</v>
      </c>
      <c r="CH100" s="5" t="s">
        <v>129</v>
      </c>
      <c r="CI100" s="3" t="s">
        <v>136</v>
      </c>
      <c r="CJ100" s="3" t="s">
        <v>136</v>
      </c>
      <c r="CK100" s="49" t="s">
        <v>142</v>
      </c>
      <c r="CL100" s="49"/>
      <c r="CM100" s="3" t="s">
        <v>143</v>
      </c>
      <c r="CN100" s="3" t="s">
        <v>188</v>
      </c>
      <c r="CO100" s="13"/>
      <c r="CP100" s="13"/>
      <c r="CQ100" s="13"/>
      <c r="CR100" s="1" t="s">
        <v>138</v>
      </c>
      <c r="CS100" s="1" t="s">
        <v>138</v>
      </c>
      <c r="CT100" s="1" t="s">
        <v>138</v>
      </c>
      <c r="CU100" s="1" t="s">
        <v>138</v>
      </c>
      <c r="CV100" s="1" t="s">
        <v>138</v>
      </c>
      <c r="CW100" s="1" t="s">
        <v>138</v>
      </c>
    </row>
    <row r="101" spans="1:192" ht="60">
      <c r="A101" s="190">
        <v>20077</v>
      </c>
      <c r="B101" s="51" t="s">
        <v>196</v>
      </c>
      <c r="C101" s="3">
        <v>95.2</v>
      </c>
      <c r="D101" s="1">
        <v>10</v>
      </c>
      <c r="E101" s="3">
        <v>9</v>
      </c>
      <c r="F101" s="1">
        <v>19</v>
      </c>
      <c r="G101" s="3">
        <v>10</v>
      </c>
      <c r="H101" s="1">
        <v>9.6</v>
      </c>
      <c r="I101" s="15">
        <v>9</v>
      </c>
      <c r="J101" s="3" t="s">
        <v>128</v>
      </c>
      <c r="K101" s="27">
        <v>3.8150000000000003E-2</v>
      </c>
      <c r="L101" s="27">
        <v>2.2040000000000001E-2</v>
      </c>
      <c r="M101" s="27">
        <v>8.1499999999999993E-3</v>
      </c>
      <c r="N101" s="27">
        <v>3.8150000000000003E-2</v>
      </c>
      <c r="O101" s="27">
        <v>2.2040000000000001E-2</v>
      </c>
      <c r="P101" s="27">
        <v>8.1499999999999993E-3</v>
      </c>
      <c r="Q101" s="27">
        <v>0.91900000000000004</v>
      </c>
      <c r="R101" s="27">
        <v>1.2E-2</v>
      </c>
      <c r="S101" s="27">
        <v>1.7000000000000001E-2</v>
      </c>
      <c r="T101" s="27">
        <v>1.7000000000000001E-2</v>
      </c>
      <c r="U101" s="27">
        <v>3.5000000000000003E-2</v>
      </c>
      <c r="V101" s="27">
        <v>0</v>
      </c>
      <c r="W101" s="52">
        <v>90</v>
      </c>
      <c r="X101" s="27">
        <v>0.90300000000000002</v>
      </c>
      <c r="Y101" s="52">
        <v>158</v>
      </c>
      <c r="Z101" s="27">
        <v>1.0999999999999999E-2</v>
      </c>
      <c r="AA101" s="27">
        <v>1.7000000000000001E-2</v>
      </c>
      <c r="AB101" s="27">
        <v>1.7000000000000001E-2</v>
      </c>
      <c r="AC101" s="27">
        <v>3.4000000000000002E-2</v>
      </c>
      <c r="AD101" s="27">
        <f t="shared" si="15"/>
        <v>5.1000000000000004E-2</v>
      </c>
      <c r="AE101" s="27">
        <v>0</v>
      </c>
      <c r="AF101" s="1" t="s">
        <v>129</v>
      </c>
      <c r="AG101" s="3" t="s">
        <v>130</v>
      </c>
      <c r="AH101" s="3" t="s">
        <v>146</v>
      </c>
      <c r="AI101" s="3">
        <v>20</v>
      </c>
      <c r="AJ101" s="3">
        <v>60</v>
      </c>
      <c r="AK101" s="3">
        <v>9</v>
      </c>
      <c r="AL101" s="3" t="s">
        <v>132</v>
      </c>
      <c r="AM101" s="1">
        <v>172</v>
      </c>
      <c r="AN101" s="3">
        <v>98</v>
      </c>
      <c r="AO101" s="1">
        <v>35</v>
      </c>
      <c r="AP101" s="3">
        <v>58</v>
      </c>
      <c r="AQ101" s="1">
        <v>40</v>
      </c>
      <c r="AR101" s="3">
        <v>100</v>
      </c>
      <c r="AS101" s="1">
        <v>39</v>
      </c>
      <c r="AT101" s="3">
        <v>98</v>
      </c>
      <c r="AU101" s="1">
        <v>79</v>
      </c>
      <c r="AV101" s="3">
        <v>99</v>
      </c>
      <c r="AW101" s="1">
        <v>75</v>
      </c>
      <c r="AX101" s="3">
        <v>94</v>
      </c>
      <c r="AY101" s="30">
        <f t="shared" si="10"/>
        <v>3.8811214686376934</v>
      </c>
      <c r="AZ101" s="31">
        <f t="shared" ref="AZ101:AZ132" si="16">NORMSINV((AV101*(80/100)+0.5)/81)-NORMSINV(1-(AX101*(80/100)+0.5)/81)</f>
        <v>3.6538812973381178</v>
      </c>
      <c r="BA101" s="1">
        <v>27</v>
      </c>
      <c r="BB101" s="3">
        <v>90</v>
      </c>
      <c r="BC101" s="1">
        <v>13</v>
      </c>
      <c r="BD101" s="3">
        <v>87</v>
      </c>
      <c r="BE101" s="1">
        <v>14</v>
      </c>
      <c r="BF101" s="3">
        <v>93</v>
      </c>
      <c r="BG101" s="1">
        <v>27</v>
      </c>
      <c r="BH101" s="3">
        <v>90</v>
      </c>
      <c r="BI101" s="1">
        <v>30</v>
      </c>
      <c r="BJ101" s="3">
        <v>100</v>
      </c>
      <c r="BK101" s="1">
        <v>54</v>
      </c>
      <c r="BL101" s="3">
        <v>84</v>
      </c>
      <c r="BM101" s="1">
        <v>184</v>
      </c>
      <c r="BN101" s="3">
        <v>94</v>
      </c>
      <c r="BO101" s="21">
        <f t="shared" si="11"/>
        <v>90.196078431372555</v>
      </c>
      <c r="BP101" s="1">
        <v>48</v>
      </c>
      <c r="BQ101" s="3">
        <v>92</v>
      </c>
      <c r="BR101" s="53" t="s">
        <v>133</v>
      </c>
      <c r="BS101" s="3">
        <v>3.4</v>
      </c>
      <c r="BT101" s="1">
        <v>39</v>
      </c>
      <c r="BU101" s="3">
        <v>98</v>
      </c>
      <c r="BV101" s="3">
        <v>3.76</v>
      </c>
      <c r="BW101" s="1">
        <v>36</v>
      </c>
      <c r="BX101" s="3">
        <v>90</v>
      </c>
      <c r="BY101" s="3">
        <v>3.16</v>
      </c>
      <c r="BZ101" s="3" t="s">
        <v>134</v>
      </c>
      <c r="CA101" s="3" t="s">
        <v>134</v>
      </c>
      <c r="CB101" s="33">
        <v>6</v>
      </c>
      <c r="CC101" s="34">
        <v>3.4285714285714287E-2</v>
      </c>
      <c r="CD101" s="3">
        <v>99</v>
      </c>
      <c r="CE101" s="3">
        <v>99</v>
      </c>
      <c r="CF101" s="3">
        <v>100</v>
      </c>
      <c r="CG101" s="1">
        <v>100</v>
      </c>
      <c r="CH101" s="5" t="s">
        <v>140</v>
      </c>
      <c r="CI101" s="3" t="s">
        <v>136</v>
      </c>
      <c r="CJ101" s="3" t="s">
        <v>136</v>
      </c>
      <c r="CK101" s="49" t="s">
        <v>142</v>
      </c>
      <c r="CL101" s="1" t="s">
        <v>151</v>
      </c>
      <c r="CM101" s="3" t="s">
        <v>168</v>
      </c>
      <c r="CN101" s="3" t="s">
        <v>188</v>
      </c>
      <c r="CO101" s="13"/>
      <c r="CP101" s="13"/>
      <c r="CQ101" s="13"/>
      <c r="CR101" s="1" t="s">
        <v>138</v>
      </c>
      <c r="CS101" s="1" t="s">
        <v>138</v>
      </c>
      <c r="CT101" s="1" t="s">
        <v>138</v>
      </c>
      <c r="CU101" s="1" t="s">
        <v>138</v>
      </c>
      <c r="CV101" s="1" t="s">
        <v>138</v>
      </c>
      <c r="CW101" s="1" t="s">
        <v>138</v>
      </c>
    </row>
    <row r="102" spans="1:192" s="151" customFormat="1" ht="60">
      <c r="A102" s="190">
        <v>20078</v>
      </c>
      <c r="B102" s="51" t="s">
        <v>127</v>
      </c>
      <c r="C102" s="3">
        <v>87.4</v>
      </c>
      <c r="D102" s="1">
        <v>9</v>
      </c>
      <c r="E102" s="3">
        <v>9</v>
      </c>
      <c r="F102" s="1">
        <v>18</v>
      </c>
      <c r="G102" s="3">
        <v>9.1</v>
      </c>
      <c r="H102" s="1">
        <v>7.9</v>
      </c>
      <c r="I102" s="15">
        <v>8.6999999999999993</v>
      </c>
      <c r="J102" s="3" t="s">
        <v>128</v>
      </c>
      <c r="K102" s="27">
        <v>3.1019999999999999E-2</v>
      </c>
      <c r="L102" s="27">
        <v>2.3470000000000001E-2</v>
      </c>
      <c r="M102" s="27">
        <v>1.0200000000000001E-2</v>
      </c>
      <c r="N102" s="27">
        <v>3.1019999999999999E-2</v>
      </c>
      <c r="O102" s="27">
        <v>2.3470000000000001E-2</v>
      </c>
      <c r="P102" s="27">
        <v>1.0200000000000001E-2</v>
      </c>
      <c r="Q102" s="27">
        <v>0.89300000000000002</v>
      </c>
      <c r="R102" s="27">
        <v>2.4E-2</v>
      </c>
      <c r="S102" s="27">
        <v>6.0000000000000001E-3</v>
      </c>
      <c r="T102" s="27">
        <v>1.2E-2</v>
      </c>
      <c r="U102" s="27">
        <v>0.06</v>
      </c>
      <c r="V102" s="27">
        <v>6.0000000000000001E-3</v>
      </c>
      <c r="W102" s="52">
        <v>86</v>
      </c>
      <c r="X102" s="27">
        <v>0.85699999999999998</v>
      </c>
      <c r="Y102" s="52">
        <v>150</v>
      </c>
      <c r="Z102" s="27">
        <v>2.3E-2</v>
      </c>
      <c r="AA102" s="27">
        <v>6.0000000000000001E-3</v>
      </c>
      <c r="AB102" s="27">
        <v>1.0999999999999999E-2</v>
      </c>
      <c r="AC102" s="27">
        <v>5.7000000000000002E-2</v>
      </c>
      <c r="AD102" s="27">
        <f t="shared" si="15"/>
        <v>6.3E-2</v>
      </c>
      <c r="AE102" s="27">
        <v>6.0000000000000001E-3</v>
      </c>
      <c r="AF102" s="1" t="s">
        <v>167</v>
      </c>
      <c r="AG102" s="3" t="s">
        <v>130</v>
      </c>
      <c r="AH102" s="3" t="s">
        <v>131</v>
      </c>
      <c r="AI102" s="3">
        <v>12</v>
      </c>
      <c r="AJ102" s="3">
        <v>57</v>
      </c>
      <c r="AK102" s="3">
        <v>3</v>
      </c>
      <c r="AL102" s="3" t="s">
        <v>132</v>
      </c>
      <c r="AM102" s="1">
        <v>160</v>
      </c>
      <c r="AN102" s="3">
        <v>91</v>
      </c>
      <c r="AO102" s="1">
        <v>19</v>
      </c>
      <c r="AP102" s="3">
        <v>32</v>
      </c>
      <c r="AQ102" s="1">
        <v>35</v>
      </c>
      <c r="AR102" s="3">
        <v>88</v>
      </c>
      <c r="AS102" s="1">
        <v>34</v>
      </c>
      <c r="AT102" s="3">
        <v>85</v>
      </c>
      <c r="AU102" s="1">
        <v>70</v>
      </c>
      <c r="AV102" s="3">
        <v>88</v>
      </c>
      <c r="AW102" s="1">
        <v>71</v>
      </c>
      <c r="AX102" s="3">
        <v>89</v>
      </c>
      <c r="AY102" s="30">
        <f t="shared" si="10"/>
        <v>2.4015149121027006</v>
      </c>
      <c r="AZ102" s="31">
        <f t="shared" si="16"/>
        <v>2.3531634674084758</v>
      </c>
      <c r="BA102" s="1">
        <v>24</v>
      </c>
      <c r="BB102" s="3">
        <v>80</v>
      </c>
      <c r="BC102" s="1">
        <v>14</v>
      </c>
      <c r="BD102" s="3">
        <v>93</v>
      </c>
      <c r="BE102" s="1">
        <v>10</v>
      </c>
      <c r="BF102" s="3">
        <v>67</v>
      </c>
      <c r="BG102" s="1">
        <v>19</v>
      </c>
      <c r="BH102" s="3">
        <v>63</v>
      </c>
      <c r="BI102" s="1">
        <v>25</v>
      </c>
      <c r="BJ102" s="3">
        <v>83</v>
      </c>
      <c r="BK102" s="1">
        <v>41</v>
      </c>
      <c r="BL102" s="3">
        <v>64</v>
      </c>
      <c r="BM102" s="1">
        <v>141</v>
      </c>
      <c r="BN102" s="3">
        <v>73</v>
      </c>
      <c r="BO102" s="21">
        <f t="shared" si="11"/>
        <v>69.117647058823522</v>
      </c>
      <c r="BP102" s="1">
        <v>45</v>
      </c>
      <c r="BQ102" s="3">
        <v>87</v>
      </c>
      <c r="BR102" s="53" t="s">
        <v>133</v>
      </c>
      <c r="BS102" s="3">
        <v>3.2</v>
      </c>
      <c r="BT102" s="1">
        <v>36</v>
      </c>
      <c r="BU102" s="3">
        <v>90</v>
      </c>
      <c r="BV102" s="3">
        <v>2.0640000000000001</v>
      </c>
      <c r="BW102" s="1">
        <v>36</v>
      </c>
      <c r="BX102" s="3">
        <v>90</v>
      </c>
      <c r="BY102" s="3">
        <v>3</v>
      </c>
      <c r="BZ102" s="3" t="s">
        <v>134</v>
      </c>
      <c r="CA102" s="3" t="s">
        <v>134</v>
      </c>
      <c r="CB102" s="33">
        <v>0</v>
      </c>
      <c r="CC102" s="34">
        <v>0</v>
      </c>
      <c r="CD102" s="3">
        <v>94</v>
      </c>
      <c r="CE102" s="3">
        <v>100</v>
      </c>
      <c r="CF102" s="3">
        <v>94</v>
      </c>
      <c r="CG102" s="1">
        <v>15</v>
      </c>
      <c r="CH102" s="5" t="s">
        <v>140</v>
      </c>
      <c r="CI102" s="3" t="s">
        <v>136</v>
      </c>
      <c r="CJ102" s="3" t="s">
        <v>136</v>
      </c>
      <c r="CK102" s="49" t="s">
        <v>142</v>
      </c>
      <c r="CL102" s="49"/>
      <c r="CM102" s="3" t="s">
        <v>263</v>
      </c>
      <c r="CN102" s="3" t="s">
        <v>188</v>
      </c>
      <c r="CO102" s="13"/>
      <c r="CP102" s="13"/>
      <c r="CQ102" s="13"/>
      <c r="CR102" s="1" t="s">
        <v>138</v>
      </c>
      <c r="CS102" s="1" t="s">
        <v>138</v>
      </c>
      <c r="CT102" s="1" t="s">
        <v>138</v>
      </c>
      <c r="CU102" s="1" t="s">
        <v>138</v>
      </c>
      <c r="CV102" s="1" t="s">
        <v>138</v>
      </c>
      <c r="CW102" s="1" t="s">
        <v>138</v>
      </c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5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</row>
    <row r="103" spans="1:192" s="10" customFormat="1" ht="15" customHeight="1">
      <c r="A103" s="190">
        <v>20079</v>
      </c>
      <c r="B103" s="23" t="s">
        <v>166</v>
      </c>
      <c r="C103" s="3">
        <v>94.5</v>
      </c>
      <c r="D103" s="1">
        <v>10</v>
      </c>
      <c r="E103" s="3">
        <v>9</v>
      </c>
      <c r="F103" s="1">
        <v>19</v>
      </c>
      <c r="G103" s="3">
        <v>9.9499999999999993</v>
      </c>
      <c r="H103" s="1">
        <v>9</v>
      </c>
      <c r="I103" s="15">
        <v>9.3000000000000007</v>
      </c>
      <c r="J103" s="3" t="s">
        <v>128</v>
      </c>
      <c r="K103" s="27">
        <v>4.9799999999999997E-2</v>
      </c>
      <c r="L103" s="27">
        <v>2.826E-2</v>
      </c>
      <c r="M103" s="27">
        <v>4.9100000000000003E-3</v>
      </c>
      <c r="N103" s="27">
        <v>4.9799999999999997E-2</v>
      </c>
      <c r="O103" s="27">
        <v>2.826E-2</v>
      </c>
      <c r="P103" s="27">
        <v>4.9100000000000003E-3</v>
      </c>
      <c r="Q103" s="27">
        <v>0.97699999999999998</v>
      </c>
      <c r="R103" s="27">
        <v>1.7000000000000001E-2</v>
      </c>
      <c r="S103" s="27">
        <v>0</v>
      </c>
      <c r="T103" s="27">
        <v>0</v>
      </c>
      <c r="U103" s="27">
        <v>6.0000000000000001E-3</v>
      </c>
      <c r="V103" s="27">
        <v>0</v>
      </c>
      <c r="W103" s="52">
        <v>98</v>
      </c>
      <c r="X103" s="27">
        <v>0.97699999999999998</v>
      </c>
      <c r="Y103" s="52">
        <v>171</v>
      </c>
      <c r="Z103" s="27">
        <v>1.7000000000000001E-2</v>
      </c>
      <c r="AA103" s="27">
        <v>0</v>
      </c>
      <c r="AB103" s="27">
        <v>0</v>
      </c>
      <c r="AC103" s="27">
        <v>6.0000000000000001E-3</v>
      </c>
      <c r="AD103" s="27">
        <f t="shared" si="15"/>
        <v>6.0000000000000001E-3</v>
      </c>
      <c r="AE103" s="27">
        <v>0</v>
      </c>
      <c r="AF103" s="1" t="s">
        <v>167</v>
      </c>
      <c r="AG103" s="3" t="s">
        <v>130</v>
      </c>
      <c r="AH103" s="1" t="s">
        <v>131</v>
      </c>
      <c r="AI103" s="3">
        <v>12</v>
      </c>
      <c r="AJ103" s="3">
        <v>50</v>
      </c>
      <c r="AK103" s="3">
        <v>5</v>
      </c>
      <c r="AL103" s="3" t="s">
        <v>132</v>
      </c>
      <c r="AM103" s="1">
        <v>173</v>
      </c>
      <c r="AN103" s="3">
        <v>99</v>
      </c>
      <c r="AO103" s="1">
        <v>47</v>
      </c>
      <c r="AP103" s="3">
        <v>78</v>
      </c>
      <c r="AQ103" s="1">
        <v>36</v>
      </c>
      <c r="AR103" s="3">
        <v>90</v>
      </c>
      <c r="AS103" s="1">
        <v>37</v>
      </c>
      <c r="AT103" s="3">
        <v>93</v>
      </c>
      <c r="AU103" s="1">
        <v>79</v>
      </c>
      <c r="AV103" s="3">
        <v>99</v>
      </c>
      <c r="AW103" s="1">
        <v>70</v>
      </c>
      <c r="AX103" s="3">
        <v>88</v>
      </c>
      <c r="AY103" s="30">
        <f t="shared" si="10"/>
        <v>3.5013346661069313</v>
      </c>
      <c r="AZ103" s="31">
        <f t="shared" si="16"/>
        <v>3.2950285353870701</v>
      </c>
      <c r="BA103" s="1">
        <v>28</v>
      </c>
      <c r="BB103" s="3">
        <v>93</v>
      </c>
      <c r="BC103" s="1">
        <v>14</v>
      </c>
      <c r="BD103" s="3">
        <v>93</v>
      </c>
      <c r="BE103" s="1">
        <v>14</v>
      </c>
      <c r="BF103" s="3">
        <v>93</v>
      </c>
      <c r="BG103" s="1">
        <v>28</v>
      </c>
      <c r="BH103" s="3">
        <v>93</v>
      </c>
      <c r="BI103" s="1">
        <v>30</v>
      </c>
      <c r="BJ103" s="3">
        <v>100</v>
      </c>
      <c r="BK103" s="1">
        <v>61</v>
      </c>
      <c r="BL103" s="3">
        <v>95</v>
      </c>
      <c r="BM103" s="1">
        <v>176</v>
      </c>
      <c r="BN103" s="3">
        <v>92</v>
      </c>
      <c r="BO103" s="21">
        <f t="shared" si="11"/>
        <v>86.274509803921575</v>
      </c>
      <c r="BP103" s="1">
        <v>49</v>
      </c>
      <c r="BQ103" s="3">
        <v>94</v>
      </c>
      <c r="BR103" s="53" t="s">
        <v>133</v>
      </c>
      <c r="BS103" s="3">
        <v>4</v>
      </c>
      <c r="BT103" s="1">
        <v>40</v>
      </c>
      <c r="BU103" s="3">
        <v>100</v>
      </c>
      <c r="BV103" s="3">
        <v>6</v>
      </c>
      <c r="BW103" s="1">
        <v>39</v>
      </c>
      <c r="BX103" s="3">
        <v>98</v>
      </c>
      <c r="BY103" s="3">
        <v>3.8</v>
      </c>
      <c r="BZ103" s="3" t="s">
        <v>134</v>
      </c>
      <c r="CA103" s="3" t="s">
        <v>134</v>
      </c>
      <c r="CB103" s="33">
        <v>1</v>
      </c>
      <c r="CC103" s="34">
        <v>5.7142857142857143E-3</v>
      </c>
      <c r="CD103" s="3">
        <v>99</v>
      </c>
      <c r="CE103" s="3">
        <v>99</v>
      </c>
      <c r="CF103" s="3">
        <v>99</v>
      </c>
      <c r="CG103" s="1">
        <v>100</v>
      </c>
      <c r="CH103" s="5" t="s">
        <v>140</v>
      </c>
      <c r="CI103" s="3" t="s">
        <v>136</v>
      </c>
      <c r="CJ103" s="3" t="s">
        <v>136</v>
      </c>
      <c r="CK103" s="3" t="s">
        <v>136</v>
      </c>
      <c r="CL103" s="49"/>
      <c r="CM103" s="3" t="s">
        <v>250</v>
      </c>
      <c r="CN103" s="3" t="s">
        <v>188</v>
      </c>
      <c r="CO103" s="13"/>
      <c r="CP103" s="13"/>
      <c r="CQ103" s="13"/>
      <c r="CR103" s="1" t="s">
        <v>138</v>
      </c>
      <c r="CS103" s="1" t="s">
        <v>138</v>
      </c>
      <c r="CT103" s="1" t="s">
        <v>138</v>
      </c>
      <c r="CU103" s="1" t="s">
        <v>138</v>
      </c>
      <c r="CV103" s="1" t="s">
        <v>138</v>
      </c>
      <c r="CW103" s="1" t="s">
        <v>138</v>
      </c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5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</row>
    <row r="104" spans="1:192" s="13" customFormat="1" ht="60">
      <c r="A104" s="190">
        <v>20080</v>
      </c>
      <c r="B104" s="51" t="s">
        <v>196</v>
      </c>
      <c r="C104" s="3">
        <v>32.799999999999997</v>
      </c>
      <c r="D104" s="1">
        <v>3</v>
      </c>
      <c r="E104" s="3">
        <v>3</v>
      </c>
      <c r="F104" s="1">
        <v>6</v>
      </c>
      <c r="G104" s="3">
        <v>5.0999999999999996</v>
      </c>
      <c r="H104" s="1">
        <v>3.2</v>
      </c>
      <c r="I104" s="1">
        <v>2.1</v>
      </c>
      <c r="J104" s="3" t="s">
        <v>264</v>
      </c>
      <c r="K104" s="27">
        <v>1.5E-3</v>
      </c>
      <c r="L104" s="27">
        <v>1.6109999999999999E-2</v>
      </c>
      <c r="M104" s="27">
        <v>5.2900000000000003E-2</v>
      </c>
      <c r="N104" s="27">
        <v>1.5E-3</v>
      </c>
      <c r="O104" s="27">
        <v>1.6109999999999999E-2</v>
      </c>
      <c r="P104" s="27">
        <v>5.2900000000000003E-2</v>
      </c>
      <c r="Q104" s="27">
        <v>0.13500000000000001</v>
      </c>
      <c r="R104" s="27">
        <v>2.7E-2</v>
      </c>
      <c r="S104" s="27">
        <v>0.16200000000000001</v>
      </c>
      <c r="T104" s="27">
        <v>5.3999999999999999E-2</v>
      </c>
      <c r="U104" s="27">
        <v>0.32400000000000001</v>
      </c>
      <c r="V104" s="27">
        <v>0.29699999999999999</v>
      </c>
      <c r="W104" s="52">
        <v>3</v>
      </c>
      <c r="X104" s="27">
        <v>2.9000000000000001E-2</v>
      </c>
      <c r="Y104" s="52">
        <v>5</v>
      </c>
      <c r="Z104" s="27">
        <v>6.0000000000000001E-3</v>
      </c>
      <c r="AA104" s="27">
        <v>3.4000000000000002E-2</v>
      </c>
      <c r="AB104" s="27">
        <v>1.0999999999999999E-2</v>
      </c>
      <c r="AC104" s="27">
        <v>6.9000000000000006E-2</v>
      </c>
      <c r="AD104" s="27">
        <f t="shared" si="15"/>
        <v>0.10300000000000001</v>
      </c>
      <c r="AE104" s="27">
        <v>6.3E-2</v>
      </c>
      <c r="AF104" s="1" t="s">
        <v>129</v>
      </c>
      <c r="AG104" s="3" t="s">
        <v>130</v>
      </c>
      <c r="AH104" s="3" t="s">
        <v>146</v>
      </c>
      <c r="AI104" s="3">
        <v>12</v>
      </c>
      <c r="AJ104" s="3">
        <v>64</v>
      </c>
      <c r="AK104" s="3">
        <v>10</v>
      </c>
      <c r="AL104" s="3" t="s">
        <v>132</v>
      </c>
      <c r="AM104" s="1">
        <v>152</v>
      </c>
      <c r="AN104" s="3">
        <v>87</v>
      </c>
      <c r="AO104" s="1">
        <v>9</v>
      </c>
      <c r="AP104" s="3">
        <v>15</v>
      </c>
      <c r="AQ104" s="1">
        <v>29</v>
      </c>
      <c r="AR104" s="3">
        <v>73</v>
      </c>
      <c r="AS104" s="1">
        <v>28</v>
      </c>
      <c r="AT104" s="3">
        <v>70</v>
      </c>
      <c r="AU104" s="1">
        <v>70</v>
      </c>
      <c r="AV104" s="3">
        <v>88</v>
      </c>
      <c r="AW104" s="1">
        <v>59</v>
      </c>
      <c r="AX104" s="3">
        <v>74</v>
      </c>
      <c r="AY104" s="30">
        <f t="shared" si="10"/>
        <v>1.8183321974590072</v>
      </c>
      <c r="AZ104" s="31">
        <f t="shared" si="16"/>
        <v>1.7860873686437171</v>
      </c>
      <c r="BA104" s="1">
        <v>15</v>
      </c>
      <c r="BB104" s="3">
        <v>50</v>
      </c>
      <c r="BC104" s="1">
        <v>8</v>
      </c>
      <c r="BD104" s="3">
        <v>53</v>
      </c>
      <c r="BE104" s="1">
        <v>7</v>
      </c>
      <c r="BF104" s="3">
        <v>47</v>
      </c>
      <c r="BG104" s="1">
        <v>19</v>
      </c>
      <c r="BH104" s="3">
        <v>63</v>
      </c>
      <c r="BI104" s="1">
        <v>18</v>
      </c>
      <c r="BJ104" s="3">
        <v>60</v>
      </c>
      <c r="BK104" s="1">
        <v>23</v>
      </c>
      <c r="BL104" s="3">
        <v>36</v>
      </c>
      <c r="BM104" s="1">
        <v>14</v>
      </c>
      <c r="BN104" s="3">
        <v>40</v>
      </c>
      <c r="BO104" s="21">
        <f t="shared" si="11"/>
        <v>6.8627450980392162</v>
      </c>
      <c r="BP104" s="1">
        <v>29</v>
      </c>
      <c r="BQ104" s="3">
        <v>56</v>
      </c>
      <c r="BR104" s="80" t="s">
        <v>185</v>
      </c>
      <c r="BS104" s="3">
        <v>1</v>
      </c>
      <c r="BT104" s="1">
        <v>19</v>
      </c>
      <c r="BU104" s="3">
        <v>48</v>
      </c>
      <c r="BV104" s="3">
        <v>0.5</v>
      </c>
      <c r="BW104" s="1">
        <v>17</v>
      </c>
      <c r="BX104" s="3">
        <v>43</v>
      </c>
      <c r="BY104" s="3">
        <v>0.5</v>
      </c>
      <c r="BZ104" s="3" t="s">
        <v>265</v>
      </c>
      <c r="CA104" s="3" t="s">
        <v>265</v>
      </c>
      <c r="CB104" s="33">
        <v>40</v>
      </c>
      <c r="CC104" s="34">
        <v>0.22857142857142856</v>
      </c>
      <c r="CD104" s="3">
        <v>27</v>
      </c>
      <c r="CE104" s="3">
        <v>29</v>
      </c>
      <c r="CF104" s="3">
        <v>86</v>
      </c>
      <c r="CG104" s="1">
        <v>100</v>
      </c>
      <c r="CH104" s="5" t="s">
        <v>140</v>
      </c>
      <c r="CI104" s="3" t="s">
        <v>188</v>
      </c>
      <c r="CL104" s="1" t="s">
        <v>234</v>
      </c>
      <c r="CM104" s="3" t="s">
        <v>168</v>
      </c>
      <c r="CN104" s="3" t="s">
        <v>188</v>
      </c>
      <c r="CR104" s="1" t="s">
        <v>234</v>
      </c>
      <c r="CS104" s="1" t="s">
        <v>138</v>
      </c>
      <c r="CT104" s="1" t="s">
        <v>138</v>
      </c>
      <c r="CU104" s="1" t="s">
        <v>138</v>
      </c>
      <c r="CV104" s="1" t="s">
        <v>138</v>
      </c>
      <c r="CW104" s="1" t="s">
        <v>138</v>
      </c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</row>
    <row r="105" spans="1:192" ht="60">
      <c r="A105" s="190">
        <v>20081</v>
      </c>
      <c r="B105" s="51" t="s">
        <v>127</v>
      </c>
      <c r="C105" s="3">
        <v>27.2</v>
      </c>
      <c r="D105" s="1">
        <v>2</v>
      </c>
      <c r="E105" s="3">
        <v>1</v>
      </c>
      <c r="F105" s="1">
        <v>3</v>
      </c>
      <c r="G105" s="3">
        <v>5.2</v>
      </c>
      <c r="H105" s="1">
        <v>4.2</v>
      </c>
      <c r="I105" s="1">
        <v>1.2</v>
      </c>
      <c r="J105" s="1" t="s">
        <v>210</v>
      </c>
      <c r="K105" s="27">
        <v>1.15E-3</v>
      </c>
      <c r="L105" s="27">
        <v>2.0539999999999999E-2</v>
      </c>
      <c r="M105" s="27">
        <v>8.1839999999999996E-2</v>
      </c>
      <c r="N105" s="27">
        <v>1.15E-3</v>
      </c>
      <c r="O105" s="27">
        <v>2.0539999999999999E-2</v>
      </c>
      <c r="P105" s="27">
        <v>8.1839999999999996E-2</v>
      </c>
      <c r="Q105" s="27">
        <v>0.17499999999999999</v>
      </c>
      <c r="R105" s="27">
        <v>2.5000000000000001E-2</v>
      </c>
      <c r="S105" s="27">
        <v>0.158</v>
      </c>
      <c r="T105" s="27">
        <v>3.3000000000000002E-2</v>
      </c>
      <c r="U105" s="27">
        <v>0.20799999999999999</v>
      </c>
      <c r="V105" s="27">
        <v>0.4</v>
      </c>
      <c r="W105" s="52">
        <v>12</v>
      </c>
      <c r="X105" s="27">
        <v>0.12</v>
      </c>
      <c r="Y105" s="52">
        <v>21</v>
      </c>
      <c r="Z105" s="27">
        <v>1.7000000000000001E-2</v>
      </c>
      <c r="AA105" s="27">
        <v>0.109</v>
      </c>
      <c r="AB105" s="27">
        <v>2.3E-2</v>
      </c>
      <c r="AC105" s="27">
        <v>0.14299999999999999</v>
      </c>
      <c r="AD105" s="27">
        <f t="shared" si="15"/>
        <v>0.252</v>
      </c>
      <c r="AE105" s="27">
        <v>0.27400000000000002</v>
      </c>
      <c r="AF105" s="1" t="s">
        <v>129</v>
      </c>
      <c r="AG105" s="3" t="s">
        <v>130</v>
      </c>
      <c r="AH105" s="3" t="s">
        <v>146</v>
      </c>
      <c r="AI105" s="3">
        <v>12</v>
      </c>
      <c r="AJ105" s="3">
        <v>58</v>
      </c>
      <c r="AK105" s="3">
        <v>12</v>
      </c>
      <c r="AL105" s="3" t="s">
        <v>132</v>
      </c>
      <c r="AM105" s="1">
        <v>129</v>
      </c>
      <c r="AN105" s="3">
        <v>74</v>
      </c>
      <c r="AO105" s="1">
        <v>20</v>
      </c>
      <c r="AP105" s="3">
        <v>33</v>
      </c>
      <c r="AQ105" s="1">
        <v>37</v>
      </c>
      <c r="AR105" s="3">
        <v>93</v>
      </c>
      <c r="AS105" s="1">
        <v>27</v>
      </c>
      <c r="AT105" s="3">
        <v>68</v>
      </c>
      <c r="AU105" s="1">
        <v>54</v>
      </c>
      <c r="AV105" s="3">
        <v>68</v>
      </c>
      <c r="AW105" s="1">
        <v>72</v>
      </c>
      <c r="AX105" s="3">
        <v>98</v>
      </c>
      <c r="AY105" s="30">
        <f t="shared" si="10"/>
        <v>2.5214477097463304</v>
      </c>
      <c r="AZ105" s="31">
        <f t="shared" si="16"/>
        <v>2.4058553709469628</v>
      </c>
      <c r="BA105" s="1">
        <v>25</v>
      </c>
      <c r="BB105" s="3">
        <v>83</v>
      </c>
      <c r="BC105" s="1">
        <v>14</v>
      </c>
      <c r="BD105" s="3">
        <v>93</v>
      </c>
      <c r="BE105" s="1">
        <v>11</v>
      </c>
      <c r="BF105" s="3">
        <v>73</v>
      </c>
      <c r="BG105" s="1">
        <v>14</v>
      </c>
      <c r="BH105" s="3">
        <v>47</v>
      </c>
      <c r="BI105" s="1">
        <v>21</v>
      </c>
      <c r="BJ105" s="3">
        <v>70</v>
      </c>
      <c r="BK105" s="1">
        <v>44</v>
      </c>
      <c r="BL105" s="3">
        <v>69</v>
      </c>
      <c r="BM105" s="1">
        <v>114</v>
      </c>
      <c r="BN105" s="3">
        <v>52</v>
      </c>
      <c r="BO105" s="21">
        <f t="shared" si="11"/>
        <v>55.882352941176471</v>
      </c>
      <c r="BP105" s="1">
        <v>47</v>
      </c>
      <c r="BQ105" s="3">
        <v>90</v>
      </c>
      <c r="BR105" s="80" t="s">
        <v>185</v>
      </c>
      <c r="BS105" s="3">
        <v>1.8</v>
      </c>
      <c r="BT105" s="1">
        <v>22</v>
      </c>
      <c r="BU105" s="3">
        <v>55</v>
      </c>
      <c r="BV105" s="3">
        <v>0.5</v>
      </c>
      <c r="BW105" s="1">
        <v>33</v>
      </c>
      <c r="BX105" s="3">
        <v>83</v>
      </c>
      <c r="BY105" s="3">
        <v>1.21</v>
      </c>
      <c r="BZ105" s="3" t="s">
        <v>265</v>
      </c>
      <c r="CA105" s="3" t="s">
        <v>265</v>
      </c>
      <c r="CB105" s="33">
        <v>54</v>
      </c>
      <c r="CC105" s="34">
        <v>0.30857142857142855</v>
      </c>
      <c r="CD105" s="3">
        <v>70</v>
      </c>
      <c r="CE105" s="3">
        <v>75</v>
      </c>
      <c r="CF105" s="3">
        <v>93</v>
      </c>
      <c r="CG105" s="1">
        <v>100</v>
      </c>
      <c r="CH105" s="5" t="s">
        <v>140</v>
      </c>
      <c r="CI105" s="3" t="s">
        <v>188</v>
      </c>
      <c r="CJ105" s="13"/>
      <c r="CK105" s="13"/>
      <c r="CL105" s="1" t="s">
        <v>234</v>
      </c>
      <c r="CM105" s="3" t="s">
        <v>137</v>
      </c>
      <c r="CN105" s="3" t="s">
        <v>188</v>
      </c>
      <c r="CO105" s="13"/>
      <c r="CP105" s="13"/>
      <c r="CQ105" s="13"/>
      <c r="CR105" s="1" t="s">
        <v>234</v>
      </c>
      <c r="CS105" s="1" t="s">
        <v>138</v>
      </c>
      <c r="CT105" s="1" t="s">
        <v>138</v>
      </c>
      <c r="CU105" s="1" t="s">
        <v>138</v>
      </c>
      <c r="CV105" s="1" t="s">
        <v>138</v>
      </c>
      <c r="CW105" s="1" t="s">
        <v>138</v>
      </c>
      <c r="DJ105" s="3"/>
    </row>
    <row r="106" spans="1:192" ht="60">
      <c r="A106" s="190">
        <v>20082</v>
      </c>
      <c r="B106" s="51" t="s">
        <v>127</v>
      </c>
      <c r="C106" s="3">
        <v>65</v>
      </c>
      <c r="D106" s="1">
        <v>8</v>
      </c>
      <c r="E106" s="3">
        <v>2</v>
      </c>
      <c r="F106" s="1">
        <v>10</v>
      </c>
      <c r="G106" s="3">
        <v>8.8000000000000007</v>
      </c>
      <c r="H106" s="1">
        <v>7.2</v>
      </c>
      <c r="I106" s="15">
        <v>6.5</v>
      </c>
      <c r="J106" s="3" t="s">
        <v>210</v>
      </c>
      <c r="K106" s="27">
        <v>2.5839999999999998E-2</v>
      </c>
      <c r="L106" s="27">
        <v>2.0320000000000001E-2</v>
      </c>
      <c r="M106" s="27">
        <v>8.9999999999999993E-3</v>
      </c>
      <c r="N106" s="27">
        <v>2.5839999999999998E-2</v>
      </c>
      <c r="O106" s="27">
        <v>2.0320000000000001E-2</v>
      </c>
      <c r="P106" s="27">
        <v>8.9999999999999993E-3</v>
      </c>
      <c r="Q106" s="27">
        <v>0.76400000000000001</v>
      </c>
      <c r="R106" s="27">
        <v>4.7E-2</v>
      </c>
      <c r="S106" s="27">
        <v>5.5E-2</v>
      </c>
      <c r="T106" s="27">
        <v>2.4E-2</v>
      </c>
      <c r="U106" s="27">
        <v>0.10199999999999999</v>
      </c>
      <c r="V106" s="27">
        <v>8.0000000000000002E-3</v>
      </c>
      <c r="W106" s="52">
        <v>55</v>
      </c>
      <c r="X106" s="27">
        <v>0.55400000000000005</v>
      </c>
      <c r="Y106" s="52">
        <v>97</v>
      </c>
      <c r="Z106" s="27">
        <v>3.4000000000000002E-2</v>
      </c>
      <c r="AA106" s="27">
        <v>0.04</v>
      </c>
      <c r="AB106" s="27">
        <v>1.7000000000000001E-2</v>
      </c>
      <c r="AC106" s="27">
        <v>7.3999999999999996E-2</v>
      </c>
      <c r="AD106" s="27">
        <f t="shared" si="15"/>
        <v>0.11399999999999999</v>
      </c>
      <c r="AE106" s="27">
        <v>6.0000000000000001E-3</v>
      </c>
      <c r="AF106" s="1" t="s">
        <v>167</v>
      </c>
      <c r="AG106" s="3" t="s">
        <v>130</v>
      </c>
      <c r="AH106" s="3" t="s">
        <v>131</v>
      </c>
      <c r="AI106" s="3">
        <v>14</v>
      </c>
      <c r="AJ106" s="3">
        <v>48</v>
      </c>
      <c r="AK106" s="3">
        <v>11</v>
      </c>
      <c r="AL106" s="3" t="s">
        <v>132</v>
      </c>
      <c r="AM106" s="1">
        <v>170</v>
      </c>
      <c r="AN106" s="3">
        <v>97</v>
      </c>
      <c r="AO106" s="1">
        <v>22</v>
      </c>
      <c r="AP106" s="3">
        <v>37</v>
      </c>
      <c r="AQ106" s="1">
        <v>38</v>
      </c>
      <c r="AR106" s="3">
        <v>95</v>
      </c>
      <c r="AS106" s="1">
        <v>31</v>
      </c>
      <c r="AT106" s="3">
        <v>78</v>
      </c>
      <c r="AU106" s="1">
        <v>74</v>
      </c>
      <c r="AV106" s="3">
        <v>93</v>
      </c>
      <c r="AW106" s="1">
        <v>75</v>
      </c>
      <c r="AX106" s="3">
        <v>94</v>
      </c>
      <c r="AY106" s="30">
        <f t="shared" si="10"/>
        <v>3.0305646227760241</v>
      </c>
      <c r="AZ106" s="31">
        <f t="shared" si="16"/>
        <v>2.9480572878805074</v>
      </c>
      <c r="BA106" s="1">
        <v>25</v>
      </c>
      <c r="BB106" s="3">
        <v>83</v>
      </c>
      <c r="BC106" s="1">
        <v>13</v>
      </c>
      <c r="BD106" s="3">
        <v>87</v>
      </c>
      <c r="BE106" s="1">
        <v>12</v>
      </c>
      <c r="BF106" s="3">
        <v>80</v>
      </c>
      <c r="BG106" s="1">
        <v>24</v>
      </c>
      <c r="BH106" s="3">
        <v>80</v>
      </c>
      <c r="BI106" s="1">
        <v>30</v>
      </c>
      <c r="BJ106" s="3">
        <v>100</v>
      </c>
      <c r="BK106" s="1">
        <v>52</v>
      </c>
      <c r="BL106" s="3">
        <v>81</v>
      </c>
      <c r="BM106" s="1">
        <v>171</v>
      </c>
      <c r="BN106" s="3">
        <v>86</v>
      </c>
      <c r="BO106" s="21">
        <f t="shared" si="11"/>
        <v>83.82352941176471</v>
      </c>
      <c r="BP106" s="1">
        <v>47</v>
      </c>
      <c r="BQ106" s="3">
        <v>90</v>
      </c>
      <c r="BR106" s="3" t="s">
        <v>185</v>
      </c>
      <c r="BS106" s="3">
        <v>2.8</v>
      </c>
      <c r="BT106" s="1">
        <v>33</v>
      </c>
      <c r="BU106" s="3">
        <v>83</v>
      </c>
      <c r="BV106" s="3">
        <v>2</v>
      </c>
      <c r="BW106" s="1">
        <v>39</v>
      </c>
      <c r="BX106" s="3">
        <v>98</v>
      </c>
      <c r="BY106" s="3">
        <v>3</v>
      </c>
      <c r="BZ106" s="3" t="s">
        <v>170</v>
      </c>
      <c r="CA106" s="3" t="s">
        <v>170</v>
      </c>
      <c r="CB106" s="33">
        <v>13</v>
      </c>
      <c r="CC106" s="34">
        <v>7.4285714285714288E-2</v>
      </c>
      <c r="CD106" s="3">
        <v>98</v>
      </c>
      <c r="CE106" s="3">
        <v>98</v>
      </c>
      <c r="CF106" s="3">
        <v>99</v>
      </c>
      <c r="CG106" s="1">
        <v>70</v>
      </c>
      <c r="CH106" s="5" t="s">
        <v>140</v>
      </c>
      <c r="CI106" s="3" t="s">
        <v>136</v>
      </c>
      <c r="CJ106" s="3" t="s">
        <v>136</v>
      </c>
      <c r="CK106" s="3" t="s">
        <v>136</v>
      </c>
      <c r="CL106" s="1" t="s">
        <v>151</v>
      </c>
      <c r="CM106" s="3" t="s">
        <v>266</v>
      </c>
      <c r="CN106" s="3" t="s">
        <v>136</v>
      </c>
      <c r="CO106" s="3" t="s">
        <v>136</v>
      </c>
      <c r="CP106" s="3" t="s">
        <v>136</v>
      </c>
      <c r="CQ106" s="3">
        <v>1</v>
      </c>
      <c r="CR106" s="1"/>
      <c r="CS106" s="1" t="s">
        <v>138</v>
      </c>
      <c r="CT106" s="1" t="s">
        <v>138</v>
      </c>
      <c r="CU106" s="1" t="s">
        <v>138</v>
      </c>
      <c r="CV106" s="1" t="s">
        <v>138</v>
      </c>
      <c r="CW106" s="1" t="s">
        <v>138</v>
      </c>
    </row>
    <row r="107" spans="1:192">
      <c r="A107" s="190">
        <v>20082</v>
      </c>
      <c r="B107" s="96"/>
      <c r="C107" s="8">
        <v>59.3</v>
      </c>
      <c r="D107" s="8">
        <v>5</v>
      </c>
      <c r="E107" s="8">
        <v>4</v>
      </c>
      <c r="F107" s="8">
        <v>9</v>
      </c>
      <c r="G107" s="8">
        <v>9.25</v>
      </c>
      <c r="H107" s="8">
        <v>5</v>
      </c>
      <c r="I107" s="79">
        <v>6.4</v>
      </c>
      <c r="J107" s="8" t="s">
        <v>190</v>
      </c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8"/>
      <c r="X107" s="77"/>
      <c r="Y107" s="8"/>
      <c r="Z107" s="77"/>
      <c r="AA107" s="77"/>
      <c r="AB107" s="77"/>
      <c r="AC107" s="77"/>
      <c r="AD107" s="77"/>
      <c r="AE107" s="77"/>
      <c r="AF107" s="12" t="s">
        <v>167</v>
      </c>
      <c r="AG107" s="10" t="s">
        <v>130</v>
      </c>
      <c r="AH107" s="10" t="s">
        <v>131</v>
      </c>
      <c r="AI107" s="10">
        <v>14</v>
      </c>
      <c r="AJ107" s="10">
        <v>54</v>
      </c>
      <c r="AK107" s="10">
        <v>94</v>
      </c>
      <c r="AL107" s="10" t="s">
        <v>132</v>
      </c>
      <c r="AM107" s="78" t="s">
        <v>165</v>
      </c>
      <c r="AN107" s="78" t="s">
        <v>165</v>
      </c>
      <c r="AO107" s="78"/>
      <c r="AP107" s="78"/>
      <c r="AQ107" s="78"/>
      <c r="AR107" s="78"/>
      <c r="AS107" s="78"/>
      <c r="AT107" s="78"/>
      <c r="AU107" s="78"/>
      <c r="AV107" s="78"/>
      <c r="AW107" s="78"/>
      <c r="AX107" s="78"/>
      <c r="AY107" s="78"/>
      <c r="AZ107" s="31">
        <f t="shared" si="16"/>
        <v>-5.0042129466861276</v>
      </c>
      <c r="BA107" s="78"/>
      <c r="BB107" s="78"/>
      <c r="BC107" s="78"/>
      <c r="BD107" s="78"/>
      <c r="BE107" s="78"/>
      <c r="BF107" s="78"/>
      <c r="BG107" s="78">
        <v>20</v>
      </c>
      <c r="BH107" s="78">
        <v>67</v>
      </c>
      <c r="BI107" s="78">
        <v>28</v>
      </c>
      <c r="BJ107" s="78">
        <v>93</v>
      </c>
      <c r="BK107" s="78">
        <v>46</v>
      </c>
      <c r="BL107" s="78">
        <v>72</v>
      </c>
      <c r="BM107" s="78"/>
      <c r="BN107" s="78"/>
      <c r="BO107" s="78"/>
      <c r="BP107" s="78">
        <v>50</v>
      </c>
      <c r="BQ107" s="78">
        <v>96</v>
      </c>
      <c r="BR107" s="78"/>
      <c r="BS107" s="78"/>
      <c r="BT107" s="78"/>
      <c r="BU107" s="78"/>
      <c r="BV107" s="78"/>
      <c r="BW107" s="78">
        <v>38</v>
      </c>
      <c r="BX107" s="78">
        <v>95</v>
      </c>
      <c r="BY107" s="78">
        <v>2.6</v>
      </c>
      <c r="BZ107" s="3" t="s">
        <v>170</v>
      </c>
      <c r="CA107" s="3" t="s">
        <v>170</v>
      </c>
      <c r="CB107" s="78" t="s">
        <v>165</v>
      </c>
      <c r="CC107" s="78" t="s">
        <v>165</v>
      </c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8"/>
      <c r="DC107" s="8"/>
      <c r="DD107" s="8"/>
      <c r="DE107" s="8"/>
      <c r="DF107" s="8"/>
      <c r="DG107" s="8"/>
      <c r="DH107" s="8"/>
      <c r="DI107" s="8"/>
      <c r="DJ107" s="79"/>
      <c r="DK107" s="8"/>
      <c r="DL107" s="8"/>
      <c r="DM107" s="8"/>
      <c r="DN107" s="8"/>
      <c r="DO107" s="8"/>
      <c r="DP107" s="8"/>
      <c r="DQ107" s="8"/>
      <c r="DR107" s="10"/>
      <c r="DS107" s="10"/>
      <c r="DT107" s="10"/>
      <c r="DU107" s="10"/>
      <c r="DV107" s="10"/>
      <c r="DW107" s="10"/>
      <c r="DX107" s="10"/>
      <c r="DY107" s="10"/>
      <c r="DZ107" s="10"/>
      <c r="EA107" s="10"/>
      <c r="EB107" s="10"/>
      <c r="EC107" s="10"/>
      <c r="ED107" s="10"/>
      <c r="EE107" s="10"/>
      <c r="EF107" s="10"/>
      <c r="EG107" s="10"/>
      <c r="EH107" s="10"/>
      <c r="EI107" s="10"/>
      <c r="EJ107" s="10"/>
      <c r="EK107" s="10"/>
      <c r="EL107" s="10"/>
      <c r="EM107" s="10"/>
      <c r="EN107" s="10"/>
      <c r="EO107" s="10"/>
      <c r="EP107" s="10"/>
      <c r="EQ107" s="10"/>
      <c r="ER107" s="10"/>
      <c r="ES107" s="10"/>
      <c r="ET107" s="10"/>
      <c r="EU107" s="10"/>
      <c r="EV107" s="10"/>
      <c r="EW107" s="10"/>
      <c r="EX107" s="10"/>
      <c r="EY107" s="10"/>
      <c r="EZ107" s="10"/>
      <c r="FA107" s="10"/>
      <c r="FB107" s="10"/>
      <c r="FC107" s="10"/>
      <c r="FD107" s="10"/>
      <c r="FE107" s="10"/>
      <c r="FF107" s="10"/>
      <c r="FG107" s="10"/>
      <c r="FH107" s="10"/>
      <c r="FI107" s="10"/>
      <c r="FJ107" s="10"/>
      <c r="FK107" s="10"/>
      <c r="FL107" s="10"/>
      <c r="FM107" s="10"/>
      <c r="FN107" s="10"/>
      <c r="FO107" s="10"/>
      <c r="FP107" s="10"/>
      <c r="FQ107" s="10"/>
      <c r="FR107" s="10"/>
      <c r="FS107" s="10"/>
      <c r="FT107" s="10"/>
      <c r="FU107" s="10"/>
      <c r="FV107" s="10"/>
      <c r="FW107" s="10"/>
      <c r="FX107" s="10"/>
      <c r="FY107" s="10"/>
      <c r="FZ107" s="10"/>
      <c r="GA107" s="10"/>
      <c r="GB107" s="10"/>
      <c r="GC107" s="10"/>
      <c r="GD107" s="10"/>
      <c r="GE107" s="10"/>
      <c r="GF107" s="10"/>
      <c r="GG107" s="10"/>
      <c r="GH107" s="10"/>
      <c r="GI107" s="10"/>
      <c r="GJ107" s="10"/>
    </row>
    <row r="108" spans="1:192" ht="60">
      <c r="A108" s="190">
        <v>20083</v>
      </c>
      <c r="B108" s="51" t="s">
        <v>196</v>
      </c>
      <c r="C108" s="3">
        <v>25.2</v>
      </c>
      <c r="D108" s="1">
        <v>2</v>
      </c>
      <c r="E108" s="3">
        <v>1</v>
      </c>
      <c r="F108" s="1">
        <v>3</v>
      </c>
      <c r="G108" s="3">
        <v>6.5</v>
      </c>
      <c r="H108" s="1">
        <v>1.7</v>
      </c>
      <c r="I108" s="1">
        <v>1.4</v>
      </c>
      <c r="J108" s="1" t="s">
        <v>210</v>
      </c>
      <c r="K108" s="27">
        <v>1.06E-3</v>
      </c>
      <c r="L108" s="27">
        <v>1.4200000000000001E-2</v>
      </c>
      <c r="M108" s="27">
        <v>9.5640000000000003E-2</v>
      </c>
      <c r="N108" s="27">
        <v>1.06E-3</v>
      </c>
      <c r="O108" s="27">
        <v>1.4200000000000001E-2</v>
      </c>
      <c r="P108" s="27">
        <v>9.5640000000000003E-2</v>
      </c>
      <c r="Q108" s="27">
        <v>1.4999999999999999E-2</v>
      </c>
      <c r="R108" s="27">
        <v>3.7999999999999999E-2</v>
      </c>
      <c r="S108" s="27">
        <v>0.16</v>
      </c>
      <c r="T108" s="27">
        <v>8.0000000000000002E-3</v>
      </c>
      <c r="U108" s="27">
        <v>0.38200000000000001</v>
      </c>
      <c r="V108" s="27">
        <v>0.39700000000000002</v>
      </c>
      <c r="W108" s="52">
        <v>1.1000000000000001</v>
      </c>
      <c r="X108" s="27">
        <v>1.0999999999999999E-2</v>
      </c>
      <c r="Y108" s="52">
        <v>2</v>
      </c>
      <c r="Z108" s="27">
        <v>2.9000000000000001E-2</v>
      </c>
      <c r="AA108" s="27">
        <v>0.12</v>
      </c>
      <c r="AB108" s="27">
        <v>6.0000000000000001E-3</v>
      </c>
      <c r="AC108" s="27">
        <v>0.28599999999999998</v>
      </c>
      <c r="AD108" s="27">
        <f>AC108+AA108</f>
        <v>0.40599999999999997</v>
      </c>
      <c r="AE108" s="27">
        <v>0.29699999999999999</v>
      </c>
      <c r="AF108" s="1" t="s">
        <v>167</v>
      </c>
      <c r="AG108" s="3" t="s">
        <v>130</v>
      </c>
      <c r="AH108" s="3" t="s">
        <v>146</v>
      </c>
      <c r="AI108" s="3">
        <v>16</v>
      </c>
      <c r="AJ108" s="3">
        <v>64</v>
      </c>
      <c r="AK108" s="3">
        <v>7</v>
      </c>
      <c r="AL108" s="3" t="s">
        <v>132</v>
      </c>
      <c r="AM108" s="1">
        <v>45</v>
      </c>
      <c r="AN108" s="3">
        <v>26</v>
      </c>
      <c r="AO108" s="1">
        <v>4</v>
      </c>
      <c r="AP108" s="3">
        <v>7</v>
      </c>
      <c r="AQ108" s="1">
        <v>26</v>
      </c>
      <c r="AR108" s="3">
        <v>65</v>
      </c>
      <c r="AS108" s="1">
        <v>26</v>
      </c>
      <c r="AT108" s="3">
        <v>65</v>
      </c>
      <c r="AU108" s="1">
        <v>73</v>
      </c>
      <c r="AV108" s="3">
        <v>91</v>
      </c>
      <c r="AW108" s="1">
        <v>45</v>
      </c>
      <c r="AX108" s="3">
        <v>56</v>
      </c>
      <c r="AY108" s="30">
        <f>NORMINV(AV108/100,0,1)-NORMINV(1-(AX108/100),0,1)</f>
        <v>1.4917242491869935</v>
      </c>
      <c r="AZ108" s="31">
        <f t="shared" si="16"/>
        <v>1.4593054211450309</v>
      </c>
      <c r="BA108" s="1">
        <v>21</v>
      </c>
      <c r="BB108" s="3">
        <v>70</v>
      </c>
      <c r="BC108" s="1">
        <v>13</v>
      </c>
      <c r="BD108" s="3">
        <v>87</v>
      </c>
      <c r="BE108" s="1">
        <v>8</v>
      </c>
      <c r="BF108" s="3">
        <v>53</v>
      </c>
      <c r="BG108" s="1">
        <v>8</v>
      </c>
      <c r="BH108" s="3">
        <v>27</v>
      </c>
      <c r="BI108" s="1">
        <v>20</v>
      </c>
      <c r="BJ108" s="3">
        <v>67</v>
      </c>
      <c r="BK108" s="1">
        <v>44</v>
      </c>
      <c r="BL108" s="3">
        <v>69</v>
      </c>
      <c r="BM108" s="1">
        <v>101</v>
      </c>
      <c r="BN108" s="3">
        <v>46</v>
      </c>
      <c r="BO108" s="21">
        <f>(BM108/204)*100</f>
        <v>49.509803921568633</v>
      </c>
      <c r="BP108" s="1">
        <v>35</v>
      </c>
      <c r="BQ108" s="3">
        <v>67</v>
      </c>
      <c r="BR108" s="3" t="s">
        <v>185</v>
      </c>
      <c r="BS108" s="3">
        <v>0.5</v>
      </c>
      <c r="BT108" s="1" t="s">
        <v>165</v>
      </c>
      <c r="BU108" s="3">
        <v>53</v>
      </c>
      <c r="BV108" s="3" t="s">
        <v>206</v>
      </c>
      <c r="BW108" s="1" t="s">
        <v>165</v>
      </c>
      <c r="BX108" s="3">
        <v>48</v>
      </c>
      <c r="BY108" s="3" t="s">
        <v>206</v>
      </c>
      <c r="BZ108" s="3" t="s">
        <v>265</v>
      </c>
      <c r="CA108" s="3" t="s">
        <v>265</v>
      </c>
      <c r="CB108" s="33">
        <v>49</v>
      </c>
      <c r="CC108" s="34">
        <v>0.28000000000000003</v>
      </c>
      <c r="CD108" s="3">
        <v>69</v>
      </c>
      <c r="CE108" s="3">
        <v>78</v>
      </c>
      <c r="CF108" s="3">
        <v>90</v>
      </c>
      <c r="CG108" s="1">
        <v>100</v>
      </c>
      <c r="CH108" s="5" t="s">
        <v>153</v>
      </c>
      <c r="CI108" s="3" t="s">
        <v>188</v>
      </c>
      <c r="CJ108" s="13"/>
      <c r="CK108" s="13"/>
      <c r="CL108" s="1" t="s">
        <v>234</v>
      </c>
      <c r="CM108" s="3" t="s">
        <v>137</v>
      </c>
      <c r="CN108" s="3" t="s">
        <v>188</v>
      </c>
      <c r="CO108" s="13"/>
      <c r="CP108" s="13"/>
      <c r="CQ108" s="13"/>
      <c r="CR108" s="1" t="s">
        <v>234</v>
      </c>
      <c r="CS108" s="1" t="s">
        <v>138</v>
      </c>
      <c r="CT108" s="1" t="s">
        <v>138</v>
      </c>
      <c r="CU108" s="1" t="s">
        <v>138</v>
      </c>
      <c r="CV108" s="1" t="s">
        <v>138</v>
      </c>
      <c r="CW108" s="1" t="s">
        <v>138</v>
      </c>
      <c r="DJ108" s="3"/>
    </row>
    <row r="109" spans="1:192" s="2" customFormat="1" ht="60">
      <c r="A109" s="190">
        <v>20084</v>
      </c>
      <c r="B109" s="51" t="s">
        <v>220</v>
      </c>
      <c r="C109" s="3">
        <v>92</v>
      </c>
      <c r="D109" s="1">
        <v>10</v>
      </c>
      <c r="E109" s="3">
        <v>9</v>
      </c>
      <c r="F109" s="1">
        <v>19</v>
      </c>
      <c r="G109" s="3">
        <v>9.9</v>
      </c>
      <c r="H109" s="1">
        <v>10</v>
      </c>
      <c r="I109" s="15">
        <v>7.1</v>
      </c>
      <c r="J109" s="3" t="s">
        <v>128</v>
      </c>
      <c r="K109" s="27">
        <v>5.1860000000000003E-2</v>
      </c>
      <c r="L109" s="27">
        <v>2.1870000000000001E-2</v>
      </c>
      <c r="M109" s="27">
        <v>8.2500000000000004E-3</v>
      </c>
      <c r="N109" s="27">
        <v>5.1860000000000003E-2</v>
      </c>
      <c r="O109" s="27">
        <v>2.1870000000000001E-2</v>
      </c>
      <c r="P109" s="27">
        <v>8.2500000000000004E-3</v>
      </c>
      <c r="Q109" s="27">
        <v>0.96899999999999997</v>
      </c>
      <c r="R109" s="27">
        <v>6.0000000000000001E-3</v>
      </c>
      <c r="S109" s="27">
        <v>0</v>
      </c>
      <c r="T109" s="27">
        <v>6.0000000000000001E-3</v>
      </c>
      <c r="U109" s="27">
        <v>1.9E-2</v>
      </c>
      <c r="V109" s="27">
        <v>0</v>
      </c>
      <c r="W109" s="52">
        <v>89</v>
      </c>
      <c r="X109" s="27">
        <v>0.89100000000000001</v>
      </c>
      <c r="Y109" s="52">
        <v>156</v>
      </c>
      <c r="Z109" s="27">
        <v>6.0000000000000001E-3</v>
      </c>
      <c r="AA109" s="27">
        <v>0</v>
      </c>
      <c r="AB109" s="27">
        <v>6.0000000000000001E-3</v>
      </c>
      <c r="AC109" s="27">
        <v>1.7000000000000001E-2</v>
      </c>
      <c r="AD109" s="27">
        <f>AC109+AA109</f>
        <v>1.7000000000000001E-2</v>
      </c>
      <c r="AE109" s="27">
        <v>0</v>
      </c>
      <c r="AF109" s="1" t="s">
        <v>167</v>
      </c>
      <c r="AG109" s="3" t="s">
        <v>130</v>
      </c>
      <c r="AH109" s="3" t="s">
        <v>131</v>
      </c>
      <c r="AI109" s="3">
        <v>19</v>
      </c>
      <c r="AJ109" s="3">
        <v>51</v>
      </c>
      <c r="AK109" s="3">
        <v>8</v>
      </c>
      <c r="AL109" s="3" t="s">
        <v>132</v>
      </c>
      <c r="AM109" s="1">
        <v>171</v>
      </c>
      <c r="AN109" s="3">
        <v>98</v>
      </c>
      <c r="AO109" s="1">
        <v>48</v>
      </c>
      <c r="AP109" s="3">
        <v>80</v>
      </c>
      <c r="AQ109" s="1">
        <v>40</v>
      </c>
      <c r="AR109" s="3">
        <v>100</v>
      </c>
      <c r="AS109" s="1">
        <v>38</v>
      </c>
      <c r="AT109" s="3">
        <v>95</v>
      </c>
      <c r="AU109" s="1">
        <v>79</v>
      </c>
      <c r="AV109" s="3">
        <v>99</v>
      </c>
      <c r="AW109" s="1">
        <v>65</v>
      </c>
      <c r="AX109" s="3">
        <v>81</v>
      </c>
      <c r="AY109" s="30">
        <f>NORMINV(AV109/100,0,1)-NORMINV(1-(AX109/100),0,1)</f>
        <v>3.2042441690920693</v>
      </c>
      <c r="AZ109" s="31">
        <f t="shared" si="16"/>
        <v>3.0070576103068531</v>
      </c>
      <c r="BA109" s="1">
        <v>28</v>
      </c>
      <c r="BB109" s="3">
        <v>93</v>
      </c>
      <c r="BC109" s="1">
        <v>13</v>
      </c>
      <c r="BD109" s="3">
        <v>87</v>
      </c>
      <c r="BE109" s="1">
        <v>15</v>
      </c>
      <c r="BF109" s="3">
        <v>100</v>
      </c>
      <c r="BG109" s="1">
        <v>30</v>
      </c>
      <c r="BH109" s="3">
        <v>100</v>
      </c>
      <c r="BI109" s="1">
        <v>30</v>
      </c>
      <c r="BJ109" s="3">
        <v>100</v>
      </c>
      <c r="BK109" s="1">
        <v>52</v>
      </c>
      <c r="BL109" s="3">
        <v>81</v>
      </c>
      <c r="BM109" s="1">
        <v>181</v>
      </c>
      <c r="BN109" s="3">
        <v>92</v>
      </c>
      <c r="BO109" s="21">
        <f>(BM109/204)*100</f>
        <v>88.725490196078425</v>
      </c>
      <c r="BP109" s="1">
        <v>44</v>
      </c>
      <c r="BQ109" s="3">
        <v>85</v>
      </c>
      <c r="BR109" s="3" t="s">
        <v>185</v>
      </c>
      <c r="BS109" s="3">
        <v>4.4000000000000004</v>
      </c>
      <c r="BT109" s="1">
        <v>38</v>
      </c>
      <c r="BU109" s="3">
        <v>95</v>
      </c>
      <c r="BV109" s="3">
        <v>3.25</v>
      </c>
      <c r="BW109" s="1">
        <v>40</v>
      </c>
      <c r="BX109" s="3">
        <v>100</v>
      </c>
      <c r="BY109" s="3">
        <v>7.31</v>
      </c>
      <c r="BZ109" s="3" t="s">
        <v>170</v>
      </c>
      <c r="CA109" s="23" t="s">
        <v>147</v>
      </c>
      <c r="CB109" s="33">
        <v>1</v>
      </c>
      <c r="CC109" s="34">
        <v>5.7142857142857143E-3</v>
      </c>
      <c r="CD109" s="3">
        <v>94</v>
      </c>
      <c r="CE109" s="3">
        <v>97</v>
      </c>
      <c r="CF109" s="3">
        <v>99</v>
      </c>
      <c r="CG109" s="1">
        <v>100</v>
      </c>
      <c r="CH109" s="5" t="s">
        <v>140</v>
      </c>
      <c r="CI109" s="3" t="s">
        <v>136</v>
      </c>
      <c r="CJ109" s="3" t="s">
        <v>136</v>
      </c>
      <c r="CK109" s="3" t="s">
        <v>136</v>
      </c>
      <c r="CL109" s="1" t="s">
        <v>151</v>
      </c>
      <c r="CM109" s="3" t="s">
        <v>250</v>
      </c>
      <c r="CN109" s="3" t="s">
        <v>188</v>
      </c>
      <c r="CO109" s="13"/>
      <c r="CP109" s="13"/>
      <c r="CQ109" s="13"/>
      <c r="CR109" s="1" t="s">
        <v>138</v>
      </c>
      <c r="CS109" s="1" t="s">
        <v>138</v>
      </c>
      <c r="CT109" s="1" t="s">
        <v>138</v>
      </c>
      <c r="CU109" s="1" t="s">
        <v>138</v>
      </c>
      <c r="CV109" s="1" t="s">
        <v>138</v>
      </c>
      <c r="CW109" s="1" t="s">
        <v>138</v>
      </c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5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</row>
    <row r="110" spans="1:192" ht="60">
      <c r="A110" s="190">
        <v>20085</v>
      </c>
      <c r="B110" s="51" t="s">
        <v>240</v>
      </c>
      <c r="C110" s="3">
        <v>47.2</v>
      </c>
      <c r="D110" s="1">
        <v>5</v>
      </c>
      <c r="E110" s="3">
        <v>4</v>
      </c>
      <c r="F110" s="1">
        <v>9</v>
      </c>
      <c r="G110" s="3">
        <v>7.3</v>
      </c>
      <c r="H110" s="1">
        <v>2.9</v>
      </c>
      <c r="I110" s="15">
        <v>4.4000000000000004</v>
      </c>
      <c r="J110" s="3" t="s">
        <v>210</v>
      </c>
      <c r="K110" s="27">
        <v>1.5089999999999999E-2</v>
      </c>
      <c r="L110" s="27">
        <v>1.6740000000000001E-2</v>
      </c>
      <c r="M110" s="27">
        <v>5.076E-2</v>
      </c>
      <c r="N110" s="27">
        <v>1.5089999999999999E-2</v>
      </c>
      <c r="O110" s="27">
        <v>1.6740000000000001E-2</v>
      </c>
      <c r="P110" s="27">
        <v>5.076E-2</v>
      </c>
      <c r="Q110" s="27">
        <v>0.44600000000000001</v>
      </c>
      <c r="R110" s="27">
        <v>0.13700000000000001</v>
      </c>
      <c r="S110" s="27">
        <v>3.5999999999999997E-2</v>
      </c>
      <c r="T110" s="27">
        <v>9.4E-2</v>
      </c>
      <c r="U110" s="27">
        <v>0.25900000000000001</v>
      </c>
      <c r="V110" s="27">
        <v>2.9000000000000001E-2</v>
      </c>
      <c r="W110" s="52">
        <v>35</v>
      </c>
      <c r="X110" s="27">
        <v>0.35399999999999998</v>
      </c>
      <c r="Y110" s="52">
        <v>62</v>
      </c>
      <c r="Z110" s="27">
        <v>0.109</v>
      </c>
      <c r="AA110" s="27">
        <v>2.9000000000000001E-2</v>
      </c>
      <c r="AB110" s="27">
        <v>7.3999999999999996E-2</v>
      </c>
      <c r="AC110" s="27">
        <v>0.20599999999999999</v>
      </c>
      <c r="AD110" s="27">
        <f>AC110+AA110</f>
        <v>0.23499999999999999</v>
      </c>
      <c r="AE110" s="27">
        <v>2.3E-2</v>
      </c>
      <c r="AF110" s="1" t="s">
        <v>129</v>
      </c>
      <c r="AG110" s="3" t="s">
        <v>130</v>
      </c>
      <c r="AH110" s="3" t="s">
        <v>131</v>
      </c>
      <c r="AI110" s="3">
        <v>16</v>
      </c>
      <c r="AJ110" s="3">
        <v>44</v>
      </c>
      <c r="AK110" s="3">
        <v>56</v>
      </c>
      <c r="AL110" s="3" t="s">
        <v>132</v>
      </c>
      <c r="AM110" s="1">
        <v>141</v>
      </c>
      <c r="AN110" s="3">
        <v>81</v>
      </c>
      <c r="AO110" s="1">
        <v>11</v>
      </c>
      <c r="AP110" s="3">
        <v>18</v>
      </c>
      <c r="AQ110" s="1">
        <v>33</v>
      </c>
      <c r="AR110" s="3">
        <v>83</v>
      </c>
      <c r="AS110" s="1">
        <v>32</v>
      </c>
      <c r="AT110" s="3">
        <v>80</v>
      </c>
      <c r="AU110" s="1">
        <v>75</v>
      </c>
      <c r="AV110" s="3">
        <v>94</v>
      </c>
      <c r="AW110" s="1">
        <v>47</v>
      </c>
      <c r="AX110" s="3">
        <v>59</v>
      </c>
      <c r="AY110" s="30">
        <f>NORMINV(AV110/100,0,1)-NORMINV(1-(AX110/100),0,1)</f>
        <v>1.7823185712380021</v>
      </c>
      <c r="AZ110" s="31">
        <f t="shared" si="16"/>
        <v>1.7353904805019731</v>
      </c>
      <c r="BA110" s="1">
        <v>25</v>
      </c>
      <c r="BB110" s="3">
        <v>83</v>
      </c>
      <c r="BC110" s="1">
        <v>14</v>
      </c>
      <c r="BD110" s="3">
        <v>93</v>
      </c>
      <c r="BE110" s="1">
        <v>11</v>
      </c>
      <c r="BF110" s="3">
        <v>73</v>
      </c>
      <c r="BG110" s="1">
        <v>20</v>
      </c>
      <c r="BH110" s="3">
        <v>67</v>
      </c>
      <c r="BI110" s="1">
        <v>28</v>
      </c>
      <c r="BJ110" s="3">
        <v>93</v>
      </c>
      <c r="BK110" s="1">
        <v>46</v>
      </c>
      <c r="BL110" s="3">
        <v>72</v>
      </c>
      <c r="BM110" s="1">
        <v>139</v>
      </c>
      <c r="BN110" s="3">
        <v>75</v>
      </c>
      <c r="BO110" s="21">
        <f>(BM110/204)*100</f>
        <v>68.137254901960787</v>
      </c>
      <c r="BP110" s="1">
        <v>42</v>
      </c>
      <c r="BQ110" s="3">
        <v>81</v>
      </c>
      <c r="BR110" s="3" t="s">
        <v>185</v>
      </c>
      <c r="BS110" s="3">
        <v>1.2</v>
      </c>
      <c r="BT110" s="1">
        <v>34</v>
      </c>
      <c r="BU110" s="3">
        <v>85</v>
      </c>
      <c r="BV110" s="3">
        <v>1.33</v>
      </c>
      <c r="BW110" s="1">
        <v>32</v>
      </c>
      <c r="BX110" s="3">
        <v>80</v>
      </c>
      <c r="BY110" s="3">
        <v>1.17</v>
      </c>
      <c r="BZ110" s="3" t="s">
        <v>257</v>
      </c>
      <c r="CA110" s="3" t="s">
        <v>257</v>
      </c>
      <c r="CB110" s="33">
        <v>50</v>
      </c>
      <c r="CC110" s="34">
        <v>0.2857142857142857</v>
      </c>
      <c r="CD110" s="3">
        <v>91</v>
      </c>
      <c r="CE110" s="3">
        <v>92</v>
      </c>
      <c r="CF110" s="3">
        <v>98</v>
      </c>
      <c r="CG110" s="1">
        <v>100</v>
      </c>
      <c r="CH110" s="5" t="s">
        <v>140</v>
      </c>
      <c r="CI110" s="3" t="s">
        <v>136</v>
      </c>
      <c r="CJ110" s="3" t="s">
        <v>136</v>
      </c>
      <c r="CK110" s="3" t="s">
        <v>136</v>
      </c>
      <c r="CL110" s="1"/>
      <c r="CM110" s="3" t="s">
        <v>168</v>
      </c>
      <c r="CN110" s="3" t="s">
        <v>136</v>
      </c>
      <c r="CO110" s="3" t="s">
        <v>136</v>
      </c>
      <c r="CP110" s="3" t="s">
        <v>136</v>
      </c>
      <c r="CQ110" s="3">
        <v>1</v>
      </c>
      <c r="CR110" s="1"/>
      <c r="CS110" s="1" t="s">
        <v>138</v>
      </c>
      <c r="CT110" s="1" t="s">
        <v>138</v>
      </c>
      <c r="CU110" s="1" t="s">
        <v>138</v>
      </c>
      <c r="CV110" s="1" t="s">
        <v>138</v>
      </c>
      <c r="CW110" s="1" t="s">
        <v>138</v>
      </c>
    </row>
    <row r="111" spans="1:192">
      <c r="A111" s="190">
        <v>20085</v>
      </c>
      <c r="B111" s="96"/>
      <c r="C111" s="10">
        <v>46.8</v>
      </c>
      <c r="D111" s="12">
        <v>7</v>
      </c>
      <c r="E111" s="10">
        <v>2</v>
      </c>
      <c r="F111" s="12">
        <v>9</v>
      </c>
      <c r="G111" s="10">
        <v>8.5</v>
      </c>
      <c r="H111" s="12">
        <v>2.6</v>
      </c>
      <c r="I111" s="15">
        <v>3.3</v>
      </c>
      <c r="J111" s="10" t="s">
        <v>190</v>
      </c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3"/>
      <c r="X111" s="62"/>
      <c r="Y111" s="63"/>
      <c r="Z111" s="62"/>
      <c r="AA111" s="62"/>
      <c r="AB111" s="62"/>
      <c r="AC111" s="62"/>
      <c r="AD111" s="62"/>
      <c r="AE111" s="62"/>
      <c r="AF111" s="12"/>
      <c r="AG111" s="10"/>
      <c r="AH111" s="10"/>
      <c r="AI111" s="10"/>
      <c r="AJ111" s="10"/>
      <c r="AK111" s="10"/>
      <c r="AL111" s="10"/>
      <c r="AM111" s="78" t="s">
        <v>165</v>
      </c>
      <c r="AN111" s="78" t="s">
        <v>165</v>
      </c>
      <c r="AO111" s="147"/>
      <c r="AP111" s="105"/>
      <c r="AQ111" s="147"/>
      <c r="AR111" s="105"/>
      <c r="AS111" s="147"/>
      <c r="AT111" s="105"/>
      <c r="AU111" s="147"/>
      <c r="AV111" s="105"/>
      <c r="AW111" s="147"/>
      <c r="AX111" s="105"/>
      <c r="AY111" s="152"/>
      <c r="AZ111" s="31">
        <f t="shared" si="16"/>
        <v>-5.0042129466861276</v>
      </c>
      <c r="BA111" s="147"/>
      <c r="BB111" s="105"/>
      <c r="BC111" s="147"/>
      <c r="BD111" s="105"/>
      <c r="BE111" s="147"/>
      <c r="BF111" s="105"/>
      <c r="BG111" s="147"/>
      <c r="BH111" s="105"/>
      <c r="BI111" s="147"/>
      <c r="BJ111" s="105"/>
      <c r="BK111" s="147"/>
      <c r="BL111" s="105"/>
      <c r="BM111" s="147"/>
      <c r="BN111" s="105"/>
      <c r="BO111" s="68"/>
      <c r="BP111" s="147"/>
      <c r="BQ111" s="105"/>
      <c r="BR111" s="105"/>
      <c r="BS111" s="105"/>
      <c r="BT111" s="147"/>
      <c r="BU111" s="105"/>
      <c r="BV111" s="105"/>
      <c r="BW111" s="147"/>
      <c r="BX111" s="105"/>
      <c r="BY111" s="105"/>
      <c r="BZ111" s="105"/>
      <c r="CA111" s="153"/>
      <c r="CB111" s="78" t="s">
        <v>165</v>
      </c>
      <c r="CC111" s="78" t="s">
        <v>165</v>
      </c>
      <c r="CD111" s="10"/>
      <c r="CE111" s="10"/>
      <c r="CF111" s="10"/>
      <c r="CG111" s="12"/>
      <c r="CH111" s="7"/>
      <c r="CI111" s="10"/>
      <c r="CJ111" s="10"/>
      <c r="CK111" s="10"/>
      <c r="CL111" s="12"/>
      <c r="CM111" s="10"/>
      <c r="CN111" s="10"/>
      <c r="CO111" s="10"/>
      <c r="CP111" s="10"/>
      <c r="CQ111" s="10"/>
      <c r="CR111" s="12"/>
      <c r="CS111" s="12"/>
      <c r="CT111" s="12"/>
      <c r="CU111" s="12"/>
      <c r="CV111" s="12"/>
      <c r="CW111" s="12"/>
      <c r="CX111" s="10"/>
      <c r="CY111" s="10"/>
      <c r="CZ111" s="10"/>
      <c r="DA111" s="10"/>
      <c r="DB111" s="10"/>
      <c r="DC111" s="10"/>
      <c r="DD111" s="10"/>
      <c r="DE111" s="10"/>
      <c r="DF111" s="10"/>
      <c r="DG111" s="10"/>
      <c r="DH111" s="10"/>
      <c r="DI111" s="10"/>
      <c r="DK111" s="10"/>
      <c r="DL111" s="10"/>
      <c r="DM111" s="10"/>
      <c r="DN111" s="10"/>
      <c r="DO111" s="10"/>
      <c r="DP111" s="10"/>
      <c r="DQ111" s="10"/>
      <c r="DR111" s="10"/>
      <c r="DS111" s="10"/>
      <c r="DT111" s="10"/>
      <c r="DU111" s="10"/>
      <c r="DV111" s="10"/>
      <c r="DW111" s="10"/>
      <c r="DX111" s="10"/>
      <c r="DY111" s="10"/>
      <c r="DZ111" s="10"/>
      <c r="EA111" s="10"/>
      <c r="EB111" s="10"/>
      <c r="EC111" s="10"/>
      <c r="ED111" s="10"/>
      <c r="EE111" s="10"/>
      <c r="EF111" s="10"/>
      <c r="EG111" s="10"/>
      <c r="EH111" s="10"/>
      <c r="EI111" s="10"/>
      <c r="EJ111" s="10"/>
      <c r="EK111" s="10"/>
      <c r="EL111" s="10"/>
      <c r="EM111" s="10"/>
      <c r="EN111" s="10"/>
      <c r="EO111" s="10"/>
      <c r="EP111" s="10"/>
      <c r="EQ111" s="10"/>
      <c r="ER111" s="10"/>
      <c r="ES111" s="10"/>
      <c r="ET111" s="10"/>
      <c r="EU111" s="10"/>
      <c r="EV111" s="10"/>
      <c r="EW111" s="10"/>
      <c r="EX111" s="10"/>
      <c r="EY111" s="10"/>
      <c r="EZ111" s="10"/>
      <c r="FA111" s="10"/>
      <c r="FB111" s="10"/>
      <c r="FC111" s="10"/>
      <c r="FD111" s="10"/>
      <c r="FE111" s="10"/>
      <c r="FF111" s="10"/>
      <c r="FG111" s="10"/>
      <c r="FH111" s="10"/>
      <c r="FI111" s="10"/>
      <c r="FJ111" s="10"/>
      <c r="FK111" s="10"/>
      <c r="FL111" s="10"/>
      <c r="FM111" s="10"/>
      <c r="FN111" s="10"/>
      <c r="FO111" s="10"/>
      <c r="FP111" s="10"/>
      <c r="FQ111" s="10"/>
      <c r="FR111" s="10"/>
      <c r="FS111" s="10"/>
      <c r="FT111" s="10"/>
      <c r="FU111" s="10"/>
      <c r="FV111" s="10"/>
      <c r="FW111" s="10"/>
      <c r="FX111" s="10"/>
      <c r="FY111" s="10"/>
      <c r="FZ111" s="10"/>
      <c r="GA111" s="10"/>
      <c r="GB111" s="10"/>
      <c r="GC111" s="10"/>
      <c r="GD111" s="10"/>
      <c r="GE111" s="10"/>
      <c r="GF111" s="10"/>
      <c r="GG111" s="10"/>
      <c r="GH111" s="10"/>
      <c r="GI111" s="10"/>
      <c r="GJ111" s="10"/>
    </row>
    <row r="112" spans="1:192" s="8" customFormat="1" ht="15.75" customHeight="1">
      <c r="A112" s="190">
        <v>20086</v>
      </c>
      <c r="B112" s="111" t="s">
        <v>127</v>
      </c>
      <c r="C112" s="3">
        <v>84</v>
      </c>
      <c r="D112" s="1">
        <v>9</v>
      </c>
      <c r="E112" s="3">
        <v>9</v>
      </c>
      <c r="F112" s="1">
        <v>18</v>
      </c>
      <c r="G112" s="3">
        <v>7.8</v>
      </c>
      <c r="H112" s="1">
        <v>7.1</v>
      </c>
      <c r="I112" s="15">
        <v>9.1</v>
      </c>
      <c r="J112" s="3" t="s">
        <v>128</v>
      </c>
      <c r="K112" s="27">
        <v>3.1E-2</v>
      </c>
      <c r="L112" s="27">
        <v>1.9E-2</v>
      </c>
      <c r="M112" s="27">
        <v>1.4E-2</v>
      </c>
      <c r="N112" s="27">
        <v>3.1480000000000001E-2</v>
      </c>
      <c r="O112" s="27">
        <v>1.8849999999999999E-2</v>
      </c>
      <c r="P112" s="27">
        <v>1.4080000000000001E-2</v>
      </c>
      <c r="Q112" s="27">
        <v>0.82699999999999996</v>
      </c>
      <c r="R112" s="27">
        <v>1.2E-2</v>
      </c>
      <c r="S112" s="27">
        <v>0.04</v>
      </c>
      <c r="T112" s="27">
        <v>6.0000000000000001E-3</v>
      </c>
      <c r="U112" s="27">
        <v>0.11</v>
      </c>
      <c r="V112" s="27">
        <v>6.0000000000000001E-3</v>
      </c>
      <c r="W112" s="52">
        <v>82</v>
      </c>
      <c r="X112" s="27">
        <v>0.81699999999999995</v>
      </c>
      <c r="Y112" s="52">
        <v>143</v>
      </c>
      <c r="Z112" s="27">
        <v>1.0999999999999999E-2</v>
      </c>
      <c r="AA112" s="27">
        <v>0.04</v>
      </c>
      <c r="AB112" s="27">
        <v>6.0000000000000001E-3</v>
      </c>
      <c r="AC112" s="27">
        <v>0.109</v>
      </c>
      <c r="AD112" s="27">
        <f>AC112+AA112</f>
        <v>0.14899999999999999</v>
      </c>
      <c r="AE112" s="27">
        <v>6.0000000000000001E-3</v>
      </c>
      <c r="AF112" s="1" t="s">
        <v>167</v>
      </c>
      <c r="AG112" s="3" t="s">
        <v>130</v>
      </c>
      <c r="AH112" s="3" t="s">
        <v>131</v>
      </c>
      <c r="AI112" s="3">
        <v>12</v>
      </c>
      <c r="AJ112" s="3">
        <v>54</v>
      </c>
      <c r="AK112" s="3">
        <v>4</v>
      </c>
      <c r="AL112" s="3" t="s">
        <v>132</v>
      </c>
      <c r="AM112" s="1">
        <v>154</v>
      </c>
      <c r="AN112" s="3">
        <v>88</v>
      </c>
      <c r="AO112" s="1" t="s">
        <v>267</v>
      </c>
      <c r="AP112" s="3" t="s">
        <v>268</v>
      </c>
      <c r="AQ112" s="1">
        <v>36</v>
      </c>
      <c r="AR112" s="3">
        <v>90</v>
      </c>
      <c r="AS112" s="1">
        <v>36</v>
      </c>
      <c r="AT112" s="3">
        <v>90</v>
      </c>
      <c r="AU112" s="1">
        <v>57</v>
      </c>
      <c r="AV112" s="3">
        <v>71</v>
      </c>
      <c r="AW112" s="1">
        <v>71</v>
      </c>
      <c r="AX112" s="3">
        <v>89</v>
      </c>
      <c r="AY112" s="30">
        <f>NORMINV(AV112/100,0,1)-NORMINV(1-(AX112/100),0,1)</f>
        <v>1.7799128395922832</v>
      </c>
      <c r="AZ112" s="31">
        <f t="shared" si="16"/>
        <v>1.7471399934992209</v>
      </c>
      <c r="BA112" s="1">
        <v>20</v>
      </c>
      <c r="BB112" s="3">
        <v>67</v>
      </c>
      <c r="BC112" s="1">
        <v>12</v>
      </c>
      <c r="BD112" s="3">
        <v>80</v>
      </c>
      <c r="BE112" s="1">
        <v>8</v>
      </c>
      <c r="BF112" s="3">
        <v>53</v>
      </c>
      <c r="BG112" s="1">
        <v>15</v>
      </c>
      <c r="BH112" s="3">
        <v>50</v>
      </c>
      <c r="BI112" s="1">
        <v>29</v>
      </c>
      <c r="BJ112" s="3">
        <v>97</v>
      </c>
      <c r="BK112" s="1">
        <v>50</v>
      </c>
      <c r="BL112" s="3">
        <v>78</v>
      </c>
      <c r="BM112" s="1">
        <v>129</v>
      </c>
      <c r="BN112" s="3">
        <v>65</v>
      </c>
      <c r="BO112" s="21">
        <f>(BM112/204)*100</f>
        <v>63.235294117647058</v>
      </c>
      <c r="BP112" s="1">
        <v>48</v>
      </c>
      <c r="BQ112" s="3">
        <v>92</v>
      </c>
      <c r="BR112" s="3" t="s">
        <v>185</v>
      </c>
      <c r="BS112" s="3">
        <v>2.2999999999999998</v>
      </c>
      <c r="BT112" s="1">
        <v>33</v>
      </c>
      <c r="BU112" s="3">
        <v>83</v>
      </c>
      <c r="BV112" s="3">
        <v>2.29</v>
      </c>
      <c r="BW112" s="1">
        <v>28</v>
      </c>
      <c r="BX112" s="3">
        <v>93</v>
      </c>
      <c r="BY112" s="3">
        <v>2.67</v>
      </c>
      <c r="BZ112" s="3" t="s">
        <v>249</v>
      </c>
      <c r="CA112" s="3" t="s">
        <v>249</v>
      </c>
      <c r="CB112" s="33">
        <v>27</v>
      </c>
      <c r="CC112" s="34">
        <v>0.15428571428571428</v>
      </c>
      <c r="CD112" s="3">
        <v>94</v>
      </c>
      <c r="CE112" s="3">
        <v>98</v>
      </c>
      <c r="CF112" s="3">
        <v>96</v>
      </c>
      <c r="CG112" s="1">
        <v>50</v>
      </c>
      <c r="CH112" s="5" t="s">
        <v>140</v>
      </c>
      <c r="CI112" s="3" t="s">
        <v>136</v>
      </c>
      <c r="CJ112" s="3" t="s">
        <v>136</v>
      </c>
      <c r="CK112" s="3" t="s">
        <v>136</v>
      </c>
      <c r="CL112" s="1" t="s">
        <v>151</v>
      </c>
      <c r="CM112" s="3" t="s">
        <v>269</v>
      </c>
      <c r="CN112" s="3" t="s">
        <v>188</v>
      </c>
      <c r="CO112" s="13"/>
      <c r="CP112" s="13"/>
      <c r="CQ112" s="13"/>
      <c r="CR112" s="1" t="s">
        <v>234</v>
      </c>
      <c r="CS112" s="1" t="s">
        <v>138</v>
      </c>
      <c r="CT112" s="1" t="s">
        <v>138</v>
      </c>
      <c r="CU112" s="1" t="s">
        <v>138</v>
      </c>
      <c r="CV112" s="1" t="s">
        <v>138</v>
      </c>
      <c r="CW112" s="1" t="s">
        <v>138</v>
      </c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5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</row>
    <row r="113" spans="1:192" ht="60">
      <c r="A113" s="190">
        <v>20087</v>
      </c>
      <c r="B113" s="51" t="s">
        <v>127</v>
      </c>
      <c r="C113" s="3">
        <v>38</v>
      </c>
      <c r="D113" s="1">
        <v>3</v>
      </c>
      <c r="E113" s="3">
        <v>2</v>
      </c>
      <c r="F113" s="1">
        <v>5</v>
      </c>
      <c r="G113" s="3">
        <v>6.3</v>
      </c>
      <c r="H113" s="1">
        <v>4.3</v>
      </c>
      <c r="I113" s="1">
        <v>3.4</v>
      </c>
      <c r="J113" s="3" t="s">
        <v>210</v>
      </c>
      <c r="K113" s="27">
        <v>1.5089999999999999E-2</v>
      </c>
      <c r="L113" s="27">
        <v>1.6740000000000001E-2</v>
      </c>
      <c r="M113" s="27">
        <v>3.3750000000000002E-2</v>
      </c>
      <c r="N113" s="27">
        <v>1.5089999999999999E-2</v>
      </c>
      <c r="O113" s="27">
        <v>1.6740000000000001E-2</v>
      </c>
      <c r="P113" s="27">
        <v>3.3750000000000002E-2</v>
      </c>
      <c r="Q113" s="27">
        <v>0.46100000000000002</v>
      </c>
      <c r="R113" s="27">
        <v>3.9E-2</v>
      </c>
      <c r="S113" s="27">
        <v>7.9000000000000001E-2</v>
      </c>
      <c r="T113" s="27">
        <v>3.9E-2</v>
      </c>
      <c r="U113" s="27">
        <v>0.27600000000000002</v>
      </c>
      <c r="V113" s="27">
        <v>0.105</v>
      </c>
      <c r="W113" s="52">
        <v>40</v>
      </c>
      <c r="X113" s="27">
        <v>0.4</v>
      </c>
      <c r="Y113" s="52">
        <v>70</v>
      </c>
      <c r="Z113" s="27">
        <v>3.4000000000000002E-2</v>
      </c>
      <c r="AA113" s="27">
        <v>6.9000000000000006E-2</v>
      </c>
      <c r="AB113" s="27">
        <v>3.4000000000000002E-2</v>
      </c>
      <c r="AC113" s="27">
        <v>0.24</v>
      </c>
      <c r="AD113" s="27">
        <f>AC113+AA113</f>
        <v>0.309</v>
      </c>
      <c r="AE113" s="27">
        <v>9.0999999999999998E-2</v>
      </c>
      <c r="AF113" s="1" t="s">
        <v>129</v>
      </c>
      <c r="AG113" s="3" t="s">
        <v>130</v>
      </c>
      <c r="AH113" s="3" t="s">
        <v>146</v>
      </c>
      <c r="AI113" s="3">
        <v>20</v>
      </c>
      <c r="AJ113" s="3">
        <v>57</v>
      </c>
      <c r="AK113" s="3">
        <v>15</v>
      </c>
      <c r="AL113" s="3" t="s">
        <v>132</v>
      </c>
      <c r="AM113" s="1">
        <v>143</v>
      </c>
      <c r="AN113" s="3">
        <v>82</v>
      </c>
      <c r="AO113" s="1">
        <v>27</v>
      </c>
      <c r="AP113" s="3">
        <v>45</v>
      </c>
      <c r="AQ113" s="1">
        <v>32</v>
      </c>
      <c r="AR113" s="3">
        <v>80</v>
      </c>
      <c r="AS113" s="1">
        <v>28</v>
      </c>
      <c r="AT113" s="3">
        <v>70</v>
      </c>
      <c r="AU113" s="1">
        <v>58</v>
      </c>
      <c r="AV113" s="3">
        <v>73</v>
      </c>
      <c r="AW113" s="1">
        <v>48</v>
      </c>
      <c r="AX113" s="3">
        <v>60</v>
      </c>
      <c r="AY113" s="30">
        <f>NORMINV(AV113/100,0,1)-NORMINV(1-(AX113/100),0,1)</f>
        <v>0.86616009415242712</v>
      </c>
      <c r="AZ113" s="31">
        <f t="shared" si="16"/>
        <v>0.85440050316037075</v>
      </c>
      <c r="BA113" s="1">
        <v>22</v>
      </c>
      <c r="BB113" s="3">
        <v>73</v>
      </c>
      <c r="BC113" s="1">
        <v>13</v>
      </c>
      <c r="BD113" s="3">
        <v>87</v>
      </c>
      <c r="BE113" s="1">
        <v>9</v>
      </c>
      <c r="BF113" s="3">
        <v>60</v>
      </c>
      <c r="BG113" s="1">
        <v>16</v>
      </c>
      <c r="BH113" s="3">
        <v>53</v>
      </c>
      <c r="BI113" s="1">
        <v>28</v>
      </c>
      <c r="BJ113" s="3">
        <v>93</v>
      </c>
      <c r="BK113" s="1">
        <v>37</v>
      </c>
      <c r="BL113" s="3">
        <v>58</v>
      </c>
      <c r="BM113" s="1">
        <v>137</v>
      </c>
      <c r="BN113" s="3">
        <v>71</v>
      </c>
      <c r="BO113" s="21">
        <f>(BM113/204)*100</f>
        <v>67.156862745098039</v>
      </c>
      <c r="BP113" s="1">
        <v>44</v>
      </c>
      <c r="BQ113" s="3">
        <v>85</v>
      </c>
      <c r="BR113" s="3" t="s">
        <v>133</v>
      </c>
      <c r="BS113" s="3">
        <v>1.6</v>
      </c>
      <c r="BT113" s="1">
        <v>20</v>
      </c>
      <c r="BU113" s="3">
        <v>50</v>
      </c>
      <c r="BV113" s="3">
        <v>0.5</v>
      </c>
      <c r="BW113" s="1">
        <v>26</v>
      </c>
      <c r="BX113" s="3">
        <v>65</v>
      </c>
      <c r="BY113" s="3">
        <v>0.5</v>
      </c>
      <c r="BZ113" s="3" t="s">
        <v>265</v>
      </c>
      <c r="CA113" s="3" t="s">
        <v>265</v>
      </c>
      <c r="CB113" s="33">
        <v>62</v>
      </c>
      <c r="CC113" s="34">
        <v>0.35428571428571426</v>
      </c>
      <c r="CD113" s="3">
        <v>54</v>
      </c>
      <c r="CE113" s="3">
        <v>63</v>
      </c>
      <c r="CF113" s="3">
        <v>81</v>
      </c>
      <c r="CG113" s="1">
        <v>100</v>
      </c>
      <c r="CH113" s="5" t="s">
        <v>140</v>
      </c>
      <c r="CI113" s="3" t="s">
        <v>188</v>
      </c>
      <c r="CJ113" s="13"/>
      <c r="CK113" s="13"/>
      <c r="CL113" s="1" t="s">
        <v>234</v>
      </c>
      <c r="CM113" s="3" t="s">
        <v>168</v>
      </c>
      <c r="CN113" s="3" t="s">
        <v>188</v>
      </c>
      <c r="CO113" s="13"/>
      <c r="CP113" s="13"/>
      <c r="CQ113" s="13"/>
      <c r="CR113" s="1" t="s">
        <v>234</v>
      </c>
      <c r="CS113" s="1" t="s">
        <v>138</v>
      </c>
      <c r="CT113" s="1" t="s">
        <v>138</v>
      </c>
      <c r="CU113" s="1" t="s">
        <v>138</v>
      </c>
      <c r="CV113" s="1" t="s">
        <v>138</v>
      </c>
      <c r="CW113" s="1" t="s">
        <v>138</v>
      </c>
      <c r="DJ113" s="3"/>
    </row>
    <row r="114" spans="1:192" s="2" customFormat="1" ht="15.75" customHeight="1">
      <c r="A114" s="190">
        <v>20088</v>
      </c>
      <c r="B114" s="51" t="s">
        <v>240</v>
      </c>
      <c r="C114" s="3">
        <v>83.7</v>
      </c>
      <c r="D114" s="1">
        <v>9</v>
      </c>
      <c r="E114" s="3">
        <v>6</v>
      </c>
      <c r="F114" s="1">
        <v>15</v>
      </c>
      <c r="G114" s="3">
        <v>9.4499999999999993</v>
      </c>
      <c r="H114" s="1">
        <v>9</v>
      </c>
      <c r="I114" s="15">
        <v>8.4</v>
      </c>
      <c r="J114" s="3" t="s">
        <v>128</v>
      </c>
      <c r="K114" s="27">
        <v>2.2769999999999999E-2</v>
      </c>
      <c r="L114" s="27">
        <v>3.0099999999999998E-2</v>
      </c>
      <c r="M114" s="27">
        <v>1.0659999999999999E-2</v>
      </c>
      <c r="N114" s="27">
        <v>2.2769999999999999E-2</v>
      </c>
      <c r="O114" s="27">
        <v>3.0099999999999998E-2</v>
      </c>
      <c r="P114" s="27">
        <v>1.0659999999999999E-2</v>
      </c>
      <c r="Q114" s="27">
        <v>0.83299999999999996</v>
      </c>
      <c r="R114" s="27">
        <v>7.0999999999999994E-2</v>
      </c>
      <c r="S114" s="27">
        <v>1.9E-2</v>
      </c>
      <c r="T114" s="27">
        <v>3.7999999999999999E-2</v>
      </c>
      <c r="U114" s="27">
        <v>1.9E-2</v>
      </c>
      <c r="V114" s="27">
        <v>1.9E-2</v>
      </c>
      <c r="W114" s="52">
        <v>74</v>
      </c>
      <c r="X114" s="27">
        <v>0.74299999999999999</v>
      </c>
      <c r="Y114" s="52">
        <v>130</v>
      </c>
      <c r="Z114" s="27">
        <v>6.3E-2</v>
      </c>
      <c r="AA114" s="27">
        <v>1.7000000000000001E-2</v>
      </c>
      <c r="AB114" s="27">
        <v>3.4000000000000002E-2</v>
      </c>
      <c r="AC114" s="27">
        <v>1.7000000000000001E-2</v>
      </c>
      <c r="AD114" s="27">
        <f>AC114+AA114</f>
        <v>3.4000000000000002E-2</v>
      </c>
      <c r="AE114" s="27">
        <v>1.7000000000000001E-2</v>
      </c>
      <c r="AF114" s="1" t="s">
        <v>167</v>
      </c>
      <c r="AG114" s="3" t="s">
        <v>130</v>
      </c>
      <c r="AH114" s="3" t="s">
        <v>146</v>
      </c>
      <c r="AI114" s="3">
        <v>16</v>
      </c>
      <c r="AJ114" s="3">
        <v>69</v>
      </c>
      <c r="AK114" s="3">
        <v>4</v>
      </c>
      <c r="AL114" s="3" t="s">
        <v>132</v>
      </c>
      <c r="AM114" s="1">
        <v>171</v>
      </c>
      <c r="AN114" s="3">
        <v>98</v>
      </c>
      <c r="AO114" s="1">
        <v>41</v>
      </c>
      <c r="AP114" s="3">
        <v>68</v>
      </c>
      <c r="AQ114" s="1">
        <v>38</v>
      </c>
      <c r="AR114" s="3">
        <v>95</v>
      </c>
      <c r="AS114" s="1">
        <v>36</v>
      </c>
      <c r="AT114" s="3">
        <v>90</v>
      </c>
      <c r="AU114" s="1">
        <v>72</v>
      </c>
      <c r="AV114" s="3">
        <v>90</v>
      </c>
      <c r="AW114" s="1">
        <v>75</v>
      </c>
      <c r="AX114" s="3">
        <v>94</v>
      </c>
      <c r="AY114" s="30">
        <f>NORMINV(AV114/100,0,1)-NORMINV(1-(AX114/100),0,1)</f>
        <v>2.8363251601414534</v>
      </c>
      <c r="AZ114" s="31">
        <f t="shared" si="16"/>
        <v>2.7646077496029067</v>
      </c>
      <c r="BA114" s="1">
        <v>28</v>
      </c>
      <c r="BB114" s="3">
        <v>93</v>
      </c>
      <c r="BC114" s="1">
        <v>15</v>
      </c>
      <c r="BD114" s="3">
        <v>100</v>
      </c>
      <c r="BE114" s="1">
        <v>13</v>
      </c>
      <c r="BF114" s="3">
        <v>87</v>
      </c>
      <c r="BG114" s="1">
        <v>21</v>
      </c>
      <c r="BH114" s="3">
        <v>70</v>
      </c>
      <c r="BI114" s="1">
        <v>30</v>
      </c>
      <c r="BJ114" s="3">
        <v>100</v>
      </c>
      <c r="BK114" s="1">
        <v>55</v>
      </c>
      <c r="BL114" s="3">
        <v>86</v>
      </c>
      <c r="BM114" s="1">
        <v>196</v>
      </c>
      <c r="BN114" s="3">
        <v>115</v>
      </c>
      <c r="BO114" s="21">
        <f>(BM114/204)*100</f>
        <v>96.078431372549019</v>
      </c>
      <c r="BP114" s="1">
        <v>52</v>
      </c>
      <c r="BQ114" s="3">
        <v>100</v>
      </c>
      <c r="BR114" s="3" t="s">
        <v>133</v>
      </c>
      <c r="BS114" s="3">
        <v>3.6</v>
      </c>
      <c r="BT114" s="1">
        <v>37</v>
      </c>
      <c r="BU114" s="3">
        <v>93</v>
      </c>
      <c r="BV114" s="3">
        <v>3.84</v>
      </c>
      <c r="BW114" s="1">
        <v>40</v>
      </c>
      <c r="BX114" s="3">
        <v>100</v>
      </c>
      <c r="BY114" s="3">
        <v>2</v>
      </c>
      <c r="BZ114" s="3" t="s">
        <v>134</v>
      </c>
      <c r="CA114" s="3" t="s">
        <v>134</v>
      </c>
      <c r="CB114" s="33">
        <v>8</v>
      </c>
      <c r="CC114" s="34">
        <v>4.5714285714285714E-2</v>
      </c>
      <c r="CD114" s="3">
        <v>93</v>
      </c>
      <c r="CE114" s="3">
        <v>96</v>
      </c>
      <c r="CF114" s="3">
        <v>95</v>
      </c>
      <c r="CG114" s="1">
        <v>90</v>
      </c>
      <c r="CH114" s="5" t="s">
        <v>153</v>
      </c>
      <c r="CI114" s="3" t="s">
        <v>136</v>
      </c>
      <c r="CJ114" s="3" t="s">
        <v>136</v>
      </c>
      <c r="CK114" s="3" t="s">
        <v>136</v>
      </c>
      <c r="CL114" s="49"/>
      <c r="CM114" s="3" t="s">
        <v>137</v>
      </c>
      <c r="CN114" s="3" t="s">
        <v>188</v>
      </c>
      <c r="CO114" s="13"/>
      <c r="CP114" s="13"/>
      <c r="CQ114" s="13"/>
      <c r="CR114" s="1" t="s">
        <v>138</v>
      </c>
      <c r="CS114" s="1" t="s">
        <v>138</v>
      </c>
      <c r="CT114" s="1" t="s">
        <v>138</v>
      </c>
      <c r="CU114" s="1" t="s">
        <v>138</v>
      </c>
      <c r="CV114" s="1" t="s">
        <v>138</v>
      </c>
      <c r="CW114" s="1" t="s">
        <v>138</v>
      </c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5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</row>
    <row r="115" spans="1:192" ht="60">
      <c r="A115" s="190">
        <v>20089</v>
      </c>
      <c r="B115" s="23" t="s">
        <v>166</v>
      </c>
      <c r="C115" s="3">
        <v>43.9</v>
      </c>
      <c r="D115" s="1">
        <v>3</v>
      </c>
      <c r="E115" s="3">
        <v>4</v>
      </c>
      <c r="F115" s="1">
        <v>8</v>
      </c>
      <c r="G115" s="3">
        <v>3.75</v>
      </c>
      <c r="H115" s="1">
        <v>6</v>
      </c>
      <c r="I115" s="1">
        <v>4.2</v>
      </c>
      <c r="J115" s="3" t="s">
        <v>193</v>
      </c>
      <c r="K115" s="27">
        <v>1.516E-2</v>
      </c>
      <c r="L115" s="27">
        <v>2.282E-2</v>
      </c>
      <c r="M115" s="27">
        <v>2.529E-2</v>
      </c>
      <c r="N115" s="27">
        <v>1.516E-2</v>
      </c>
      <c r="O115" s="27">
        <v>2.282E-2</v>
      </c>
      <c r="P115" s="27">
        <v>2.529E-2</v>
      </c>
      <c r="Q115" s="27">
        <v>0.52700000000000002</v>
      </c>
      <c r="R115" s="27">
        <v>0.11</v>
      </c>
      <c r="S115" s="27">
        <v>0.11</v>
      </c>
      <c r="T115" s="27">
        <v>6.6000000000000003E-2</v>
      </c>
      <c r="U115" s="27">
        <v>0.121</v>
      </c>
      <c r="V115" s="27">
        <v>6.6000000000000003E-2</v>
      </c>
      <c r="W115" s="52">
        <v>27</v>
      </c>
      <c r="X115" s="27">
        <v>0.27400000000000002</v>
      </c>
      <c r="Y115" s="52">
        <v>48</v>
      </c>
      <c r="Z115" s="27">
        <v>5.7000000000000002E-2</v>
      </c>
      <c r="AA115" s="27">
        <v>5.7000000000000002E-2</v>
      </c>
      <c r="AB115" s="27">
        <v>3.4000000000000002E-2</v>
      </c>
      <c r="AC115" s="27">
        <v>6.3E-2</v>
      </c>
      <c r="AD115" s="27">
        <f>AC115+AA115</f>
        <v>0.12</v>
      </c>
      <c r="AE115" s="27">
        <v>3.4000000000000002E-2</v>
      </c>
      <c r="AF115" s="1" t="s">
        <v>167</v>
      </c>
      <c r="AG115" s="1" t="s">
        <v>130</v>
      </c>
      <c r="AH115" s="3" t="s">
        <v>146</v>
      </c>
      <c r="AI115" s="3">
        <v>12</v>
      </c>
      <c r="AJ115" s="3">
        <v>57</v>
      </c>
      <c r="AK115" s="3">
        <v>3</v>
      </c>
      <c r="AL115" s="3" t="s">
        <v>132</v>
      </c>
      <c r="AM115" s="1">
        <v>161</v>
      </c>
      <c r="AN115" s="3">
        <v>92</v>
      </c>
      <c r="AO115" s="1">
        <v>18</v>
      </c>
      <c r="AP115" s="3">
        <v>30</v>
      </c>
      <c r="AQ115" s="1">
        <v>19</v>
      </c>
      <c r="AR115" s="3">
        <v>48</v>
      </c>
      <c r="AS115" s="1">
        <v>21</v>
      </c>
      <c r="AT115" s="3">
        <v>53</v>
      </c>
      <c r="AU115" s="1">
        <v>77</v>
      </c>
      <c r="AV115" s="3">
        <v>96</v>
      </c>
      <c r="AW115" s="1">
        <v>60</v>
      </c>
      <c r="AX115" s="3">
        <v>75</v>
      </c>
      <c r="AY115" s="30">
        <f>NORMINV(AV115/100,0,1)-NORMINV(1-(AX115/100),0,1)</f>
        <v>2.4251758214482515</v>
      </c>
      <c r="AZ115" s="31">
        <f t="shared" si="16"/>
        <v>2.3530859546350449</v>
      </c>
      <c r="BA115" s="1">
        <v>11</v>
      </c>
      <c r="BB115" s="3">
        <v>37</v>
      </c>
      <c r="BC115" s="1">
        <v>7</v>
      </c>
      <c r="BD115" s="3">
        <v>47</v>
      </c>
      <c r="BE115" s="1">
        <v>4</v>
      </c>
      <c r="BF115" s="3">
        <v>27</v>
      </c>
      <c r="BG115" s="1">
        <v>13</v>
      </c>
      <c r="BH115" s="3">
        <v>43</v>
      </c>
      <c r="BI115" s="1">
        <v>19</v>
      </c>
      <c r="BJ115" s="3">
        <v>63</v>
      </c>
      <c r="BK115" s="1">
        <v>24</v>
      </c>
      <c r="BL115" s="3">
        <v>38</v>
      </c>
      <c r="BM115" s="1">
        <v>125</v>
      </c>
      <c r="BN115" s="3">
        <v>62</v>
      </c>
      <c r="BO115" s="21">
        <f>(BM115/204)*100</f>
        <v>61.274509803921575</v>
      </c>
      <c r="BP115" s="1">
        <v>24</v>
      </c>
      <c r="BQ115" s="3">
        <v>46</v>
      </c>
      <c r="BR115" s="3" t="s">
        <v>133</v>
      </c>
      <c r="BS115" s="3">
        <v>1</v>
      </c>
      <c r="BT115" s="1">
        <v>26</v>
      </c>
      <c r="BU115" s="3">
        <v>65</v>
      </c>
      <c r="BV115" s="3">
        <v>0.5</v>
      </c>
      <c r="BW115" s="1">
        <v>36</v>
      </c>
      <c r="BX115" s="3">
        <v>90</v>
      </c>
      <c r="BY115" s="3">
        <v>1.6</v>
      </c>
      <c r="BZ115" s="3" t="s">
        <v>134</v>
      </c>
      <c r="CA115" s="3" t="s">
        <v>134</v>
      </c>
      <c r="CB115" s="33">
        <v>7</v>
      </c>
      <c r="CC115" s="34">
        <v>0.04</v>
      </c>
      <c r="CD115" s="3">
        <v>47</v>
      </c>
      <c r="CE115" s="3">
        <v>56</v>
      </c>
      <c r="CF115" s="3">
        <v>79</v>
      </c>
      <c r="CG115" s="1">
        <v>100</v>
      </c>
      <c r="CH115" s="5" t="s">
        <v>140</v>
      </c>
      <c r="CI115" s="3" t="s">
        <v>188</v>
      </c>
      <c r="CJ115" s="13"/>
      <c r="CK115" s="13"/>
      <c r="CL115" s="1" t="s">
        <v>234</v>
      </c>
      <c r="CM115" s="3" t="s">
        <v>168</v>
      </c>
      <c r="CN115" s="3" t="s">
        <v>188</v>
      </c>
      <c r="CO115" s="13"/>
      <c r="CP115" s="13"/>
      <c r="CQ115" s="13"/>
      <c r="CR115" s="1" t="s">
        <v>234</v>
      </c>
      <c r="CS115" s="1" t="s">
        <v>138</v>
      </c>
      <c r="CT115" s="1" t="s">
        <v>138</v>
      </c>
      <c r="CU115" s="1" t="s">
        <v>138</v>
      </c>
      <c r="CV115" s="1" t="s">
        <v>138</v>
      </c>
      <c r="CW115" s="1" t="s">
        <v>138</v>
      </c>
      <c r="DJ115" s="3"/>
    </row>
    <row r="116" spans="1:192" s="10" customFormat="1" ht="60">
      <c r="A116" s="190">
        <v>20090</v>
      </c>
      <c r="B116" s="23" t="s">
        <v>166</v>
      </c>
      <c r="C116" s="3">
        <v>83.3</v>
      </c>
      <c r="D116" s="1">
        <v>9</v>
      </c>
      <c r="E116" s="3">
        <v>8</v>
      </c>
      <c r="F116" s="1">
        <v>17</v>
      </c>
      <c r="G116" s="3">
        <v>7.45</v>
      </c>
      <c r="H116" s="1">
        <v>9.1</v>
      </c>
      <c r="I116" s="15">
        <v>8.1</v>
      </c>
      <c r="J116" s="3" t="s">
        <v>128</v>
      </c>
      <c r="K116" s="27">
        <v>2.026E-2</v>
      </c>
      <c r="L116" s="27">
        <v>2.537E-2</v>
      </c>
      <c r="M116" s="27">
        <v>2.6120000000000001E-2</v>
      </c>
      <c r="N116" s="27">
        <v>2.026E-2</v>
      </c>
      <c r="O116" s="27">
        <v>2.537E-2</v>
      </c>
      <c r="P116" s="27">
        <v>2.6120000000000001E-2</v>
      </c>
      <c r="Q116" s="27">
        <v>0.75700000000000001</v>
      </c>
      <c r="R116" s="27">
        <v>0.03</v>
      </c>
      <c r="S116" s="27">
        <v>5.2999999999999999E-2</v>
      </c>
      <c r="T116" s="27">
        <v>3.5999999999999997E-2</v>
      </c>
      <c r="U116" s="27">
        <v>7.0999999999999994E-2</v>
      </c>
      <c r="V116" s="27">
        <v>5.2999999999999999E-2</v>
      </c>
      <c r="W116" s="52">
        <v>73</v>
      </c>
      <c r="X116" s="27">
        <v>0.73099999999999998</v>
      </c>
      <c r="Y116" s="52">
        <v>128</v>
      </c>
      <c r="Z116" s="27">
        <v>2.9000000000000001E-2</v>
      </c>
      <c r="AA116" s="27">
        <v>5.0999999999999997E-2</v>
      </c>
      <c r="AB116" s="27">
        <v>3.4000000000000002E-2</v>
      </c>
      <c r="AC116" s="27">
        <v>6.9000000000000006E-2</v>
      </c>
      <c r="AD116" s="27">
        <f>AC116+AA116</f>
        <v>0.12</v>
      </c>
      <c r="AE116" s="27">
        <v>5.0999999999999997E-2</v>
      </c>
      <c r="AF116" s="1" t="s">
        <v>167</v>
      </c>
      <c r="AG116" s="3" t="s">
        <v>130</v>
      </c>
      <c r="AH116" s="3" t="s">
        <v>146</v>
      </c>
      <c r="AI116" s="3">
        <v>12</v>
      </c>
      <c r="AJ116" s="3">
        <v>55</v>
      </c>
      <c r="AK116" s="3">
        <v>4</v>
      </c>
      <c r="AL116" s="3" t="s">
        <v>132</v>
      </c>
      <c r="AM116" s="1" t="s">
        <v>165</v>
      </c>
      <c r="AN116" s="3" t="s">
        <v>165</v>
      </c>
      <c r="AO116" s="1" t="s">
        <v>165</v>
      </c>
      <c r="AP116" s="3" t="s">
        <v>165</v>
      </c>
      <c r="AQ116" s="1" t="s">
        <v>165</v>
      </c>
      <c r="AR116" s="3" t="s">
        <v>165</v>
      </c>
      <c r="AS116" s="1" t="s">
        <v>165</v>
      </c>
      <c r="AT116" s="3" t="s">
        <v>165</v>
      </c>
      <c r="AU116" s="1" t="s">
        <v>165</v>
      </c>
      <c r="AV116" s="3" t="s">
        <v>165</v>
      </c>
      <c r="AW116" s="1" t="s">
        <v>165</v>
      </c>
      <c r="AX116" s="3" t="s">
        <v>165</v>
      </c>
      <c r="AY116" s="30" t="e">
        <f>NORMINV(AV116/100,0,1)-NORMINV(1-(AX116/100),0,1)</f>
        <v>#VALUE!</v>
      </c>
      <c r="AZ116" s="31" t="e">
        <f t="shared" si="16"/>
        <v>#VALUE!</v>
      </c>
      <c r="BA116" s="1">
        <v>23</v>
      </c>
      <c r="BB116" s="3">
        <v>77</v>
      </c>
      <c r="BC116" s="1">
        <v>14</v>
      </c>
      <c r="BD116" s="3">
        <v>93</v>
      </c>
      <c r="BE116" s="1">
        <v>9</v>
      </c>
      <c r="BF116" s="3">
        <v>60</v>
      </c>
      <c r="BG116" s="1">
        <v>18</v>
      </c>
      <c r="BH116" s="3">
        <v>60</v>
      </c>
      <c r="BI116" s="1">
        <v>29</v>
      </c>
      <c r="BJ116" s="3">
        <v>97</v>
      </c>
      <c r="BK116" s="1">
        <v>52</v>
      </c>
      <c r="BL116" s="3">
        <v>81</v>
      </c>
      <c r="BM116" s="1">
        <v>181</v>
      </c>
      <c r="BN116" s="3">
        <v>92</v>
      </c>
      <c r="BO116" s="21">
        <f>(BM116/204)*100</f>
        <v>88.725490196078425</v>
      </c>
      <c r="BP116" s="1">
        <v>49</v>
      </c>
      <c r="BQ116" s="3">
        <v>94</v>
      </c>
      <c r="BR116" s="3" t="s">
        <v>133</v>
      </c>
      <c r="BS116" s="3">
        <v>3.6</v>
      </c>
      <c r="BT116" s="1">
        <v>37</v>
      </c>
      <c r="BU116" s="3">
        <v>93</v>
      </c>
      <c r="BV116" s="3">
        <v>4.28</v>
      </c>
      <c r="BW116" s="1">
        <v>39</v>
      </c>
      <c r="BX116" s="3">
        <v>98</v>
      </c>
      <c r="BY116" s="3">
        <v>6.38</v>
      </c>
      <c r="BZ116" s="3" t="s">
        <v>134</v>
      </c>
      <c r="CA116" s="3" t="s">
        <v>134</v>
      </c>
      <c r="CB116" s="147" t="s">
        <v>256</v>
      </c>
      <c r="CC116" s="147" t="s">
        <v>256</v>
      </c>
      <c r="CD116" s="3" t="s">
        <v>165</v>
      </c>
      <c r="CE116" s="3" t="s">
        <v>165</v>
      </c>
      <c r="CF116" s="3" t="s">
        <v>165</v>
      </c>
      <c r="CG116" s="1">
        <v>100</v>
      </c>
      <c r="CH116" s="5" t="s">
        <v>129</v>
      </c>
      <c r="CI116" s="3" t="s">
        <v>136</v>
      </c>
      <c r="CJ116" s="3" t="s">
        <v>136</v>
      </c>
      <c r="CK116" s="49" t="s">
        <v>142</v>
      </c>
      <c r="CL116" s="49"/>
      <c r="CM116" s="3" t="s">
        <v>168</v>
      </c>
      <c r="CN116" s="3" t="s">
        <v>188</v>
      </c>
      <c r="CO116" s="13"/>
      <c r="CP116" s="13"/>
      <c r="CQ116" s="13"/>
      <c r="CR116" s="1" t="s">
        <v>138</v>
      </c>
      <c r="CS116" s="1" t="s">
        <v>138</v>
      </c>
      <c r="CT116" s="1" t="s">
        <v>138</v>
      </c>
      <c r="CU116" s="1" t="s">
        <v>138</v>
      </c>
      <c r="CV116" s="1" t="s">
        <v>138</v>
      </c>
      <c r="CW116" s="1" t="s">
        <v>138</v>
      </c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5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</row>
    <row r="117" spans="1:192">
      <c r="A117" s="190">
        <v>20091</v>
      </c>
      <c r="B117" s="8"/>
      <c r="C117" s="8">
        <v>92.2</v>
      </c>
      <c r="D117" s="8">
        <v>10</v>
      </c>
      <c r="E117" s="8">
        <v>9</v>
      </c>
      <c r="F117" s="8">
        <v>19</v>
      </c>
      <c r="G117" s="8">
        <v>9.4</v>
      </c>
      <c r="H117" s="8">
        <v>8</v>
      </c>
      <c r="I117" s="79">
        <v>9.6999999999999993</v>
      </c>
      <c r="J117" s="8" t="s">
        <v>270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 t="s">
        <v>130</v>
      </c>
      <c r="AH117" s="8" t="s">
        <v>146</v>
      </c>
      <c r="AI117" s="8">
        <v>21</v>
      </c>
      <c r="AJ117" s="8">
        <v>58</v>
      </c>
      <c r="AK117" s="8">
        <v>73</v>
      </c>
      <c r="AL117" s="8" t="s">
        <v>132</v>
      </c>
      <c r="AM117" s="78" t="s">
        <v>165</v>
      </c>
      <c r="AN117" s="78" t="s">
        <v>165</v>
      </c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31">
        <f t="shared" si="16"/>
        <v>-5.0042129466861276</v>
      </c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78" t="s">
        <v>165</v>
      </c>
      <c r="CC117" s="78" t="s">
        <v>165</v>
      </c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8"/>
      <c r="DA117" s="8"/>
      <c r="DB117" s="8"/>
      <c r="DC117" s="8"/>
      <c r="DD117" s="8"/>
      <c r="DE117" s="8"/>
      <c r="DF117" s="8"/>
      <c r="DG117" s="8"/>
      <c r="DH117" s="8"/>
      <c r="DI117" s="8"/>
      <c r="DJ117" s="79"/>
      <c r="DK117" s="8"/>
      <c r="DL117" s="8"/>
      <c r="DM117" s="8"/>
      <c r="DN117" s="8"/>
      <c r="DO117" s="8"/>
      <c r="DP117" s="8"/>
      <c r="DQ117" s="8"/>
      <c r="DR117" s="8"/>
      <c r="DS117" s="8"/>
      <c r="DT117" s="8"/>
      <c r="DU117" s="8"/>
      <c r="DV117" s="8"/>
      <c r="DW117" s="8"/>
      <c r="DX117" s="8"/>
      <c r="DY117" s="8"/>
      <c r="DZ117" s="8"/>
      <c r="EA117" s="8"/>
      <c r="EB117" s="8"/>
      <c r="EC117" s="8"/>
      <c r="ED117" s="8"/>
      <c r="EE117" s="8"/>
      <c r="EF117" s="8"/>
      <c r="EG117" s="8"/>
      <c r="EH117" s="8"/>
      <c r="EI117" s="8"/>
      <c r="EJ117" s="8"/>
      <c r="EK117" s="8"/>
      <c r="EL117" s="8"/>
      <c r="EM117" s="8"/>
      <c r="EN117" s="8"/>
      <c r="EO117" s="8"/>
      <c r="EP117" s="8"/>
      <c r="EQ117" s="8"/>
      <c r="ER117" s="8"/>
      <c r="ES117" s="8"/>
      <c r="ET117" s="8"/>
      <c r="EU117" s="8"/>
      <c r="EV117" s="8"/>
      <c r="EW117" s="8"/>
      <c r="EX117" s="8"/>
      <c r="EY117" s="8"/>
      <c r="EZ117" s="8"/>
      <c r="FA117" s="8"/>
      <c r="FB117" s="8"/>
      <c r="FC117" s="8"/>
      <c r="FD117" s="8"/>
      <c r="FE117" s="8"/>
      <c r="FF117" s="8"/>
      <c r="FG117" s="8"/>
      <c r="FH117" s="8"/>
      <c r="FI117" s="8"/>
      <c r="FJ117" s="8"/>
      <c r="FK117" s="8"/>
      <c r="FL117" s="8"/>
      <c r="FM117" s="8"/>
      <c r="FN117" s="8"/>
      <c r="FO117" s="8"/>
      <c r="FP117" s="8"/>
      <c r="FQ117" s="8"/>
      <c r="FR117" s="8"/>
      <c r="FS117" s="8"/>
      <c r="FT117" s="8"/>
      <c r="FU117" s="8"/>
      <c r="FV117" s="8"/>
      <c r="FW117" s="8"/>
      <c r="FX117" s="8"/>
      <c r="FY117" s="8"/>
      <c r="FZ117" s="8"/>
      <c r="GA117" s="8"/>
      <c r="GB117" s="8"/>
      <c r="GC117" s="8"/>
      <c r="GD117" s="8"/>
      <c r="GE117" s="8"/>
      <c r="GF117" s="8"/>
      <c r="GG117" s="8"/>
      <c r="GH117" s="8"/>
      <c r="GI117" s="8"/>
      <c r="GJ117" s="8"/>
    </row>
    <row r="118" spans="1:192" s="2" customFormat="1" ht="30">
      <c r="A118" s="190">
        <v>20091</v>
      </c>
      <c r="B118" s="72" t="s">
        <v>150</v>
      </c>
      <c r="C118" s="3">
        <v>89.8</v>
      </c>
      <c r="D118" s="3">
        <v>9</v>
      </c>
      <c r="E118" s="3">
        <v>9</v>
      </c>
      <c r="F118" s="3">
        <v>18</v>
      </c>
      <c r="G118" s="3">
        <v>10</v>
      </c>
      <c r="H118" s="3">
        <v>8.4</v>
      </c>
      <c r="I118" s="35">
        <v>8.5</v>
      </c>
      <c r="J118" s="3" t="s">
        <v>154</v>
      </c>
      <c r="K118" s="27">
        <v>3.0509999999999999E-2</v>
      </c>
      <c r="L118" s="27">
        <v>2.4500000000000001E-2</v>
      </c>
      <c r="M118" s="27">
        <v>6.8599999999999998E-3</v>
      </c>
      <c r="N118" s="27">
        <v>3.0509999999999999E-2</v>
      </c>
      <c r="O118" s="27">
        <v>2.4500000000000001E-2</v>
      </c>
      <c r="P118" s="27">
        <v>6.8599999999999998E-3</v>
      </c>
      <c r="Q118" s="27">
        <v>0.90300000000000002</v>
      </c>
      <c r="R118" s="27">
        <v>0.04</v>
      </c>
      <c r="S118" s="27">
        <v>1.0999999999999999E-2</v>
      </c>
      <c r="T118" s="27">
        <v>6.0000000000000001E-3</v>
      </c>
      <c r="U118" s="27">
        <v>0.04</v>
      </c>
      <c r="V118" s="27">
        <v>0</v>
      </c>
      <c r="W118" s="52">
        <v>90</v>
      </c>
      <c r="X118" s="27">
        <v>0.90300000000000002</v>
      </c>
      <c r="Y118" s="52">
        <v>158</v>
      </c>
      <c r="Z118" s="27">
        <v>0.04</v>
      </c>
      <c r="AA118" s="27">
        <v>1.0999999999999999E-2</v>
      </c>
      <c r="AB118" s="27">
        <v>6.0000000000000001E-3</v>
      </c>
      <c r="AC118" s="27">
        <v>0.04</v>
      </c>
      <c r="AD118" s="27">
        <f>AC118+AA118</f>
        <v>5.1000000000000004E-2</v>
      </c>
      <c r="AE118" s="27">
        <v>0</v>
      </c>
      <c r="AF118" s="3" t="s">
        <v>172</v>
      </c>
      <c r="AG118" s="3" t="s">
        <v>156</v>
      </c>
      <c r="AH118" s="3" t="s">
        <v>177</v>
      </c>
      <c r="AI118" s="3">
        <v>21</v>
      </c>
      <c r="AJ118" s="3">
        <v>56</v>
      </c>
      <c r="AK118" s="3">
        <v>52</v>
      </c>
      <c r="AL118" s="3" t="s">
        <v>158</v>
      </c>
      <c r="AM118" s="3">
        <v>173</v>
      </c>
      <c r="AN118" s="3">
        <v>99</v>
      </c>
      <c r="AO118" s="3">
        <v>38</v>
      </c>
      <c r="AP118" s="3">
        <v>63</v>
      </c>
      <c r="AQ118" s="3">
        <v>40</v>
      </c>
      <c r="AR118" s="3">
        <v>100</v>
      </c>
      <c r="AS118" s="3">
        <v>36</v>
      </c>
      <c r="AT118" s="3">
        <v>90</v>
      </c>
      <c r="AU118" s="3">
        <v>77</v>
      </c>
      <c r="AV118" s="3">
        <v>96</v>
      </c>
      <c r="AW118" s="3">
        <v>75</v>
      </c>
      <c r="AX118" s="3">
        <v>94</v>
      </c>
      <c r="AY118" s="3">
        <f>NORMINV(AV118/100,0,1)-NORMINV(1-(AX118/100),0,1)</f>
        <v>3.3054596658490221</v>
      </c>
      <c r="AZ118" s="31">
        <f t="shared" si="16"/>
        <v>3.1989799921371516</v>
      </c>
      <c r="BA118" s="3">
        <v>30</v>
      </c>
      <c r="BB118" s="3">
        <v>100</v>
      </c>
      <c r="BC118" s="3">
        <v>15</v>
      </c>
      <c r="BD118" s="3">
        <v>100</v>
      </c>
      <c r="BE118" s="3">
        <v>15</v>
      </c>
      <c r="BF118" s="3">
        <v>100</v>
      </c>
      <c r="BG118" s="3">
        <v>26</v>
      </c>
      <c r="BH118" s="3">
        <v>87</v>
      </c>
      <c r="BI118" s="3">
        <v>29</v>
      </c>
      <c r="BJ118" s="3">
        <v>97</v>
      </c>
      <c r="BK118" s="3">
        <v>58</v>
      </c>
      <c r="BL118" s="3">
        <v>91</v>
      </c>
      <c r="BM118" s="3">
        <v>190</v>
      </c>
      <c r="BN118" s="3">
        <v>102</v>
      </c>
      <c r="BO118" s="21">
        <v>93</v>
      </c>
      <c r="BP118" s="3">
        <v>50</v>
      </c>
      <c r="BQ118" s="3">
        <v>96</v>
      </c>
      <c r="BR118" s="3" t="s">
        <v>133</v>
      </c>
      <c r="BS118" s="3">
        <v>3.8</v>
      </c>
      <c r="BT118" s="3">
        <v>37</v>
      </c>
      <c r="BU118" s="3">
        <v>93</v>
      </c>
      <c r="BV118" s="3">
        <v>3</v>
      </c>
      <c r="BW118" s="3">
        <v>40</v>
      </c>
      <c r="BX118" s="3">
        <v>100</v>
      </c>
      <c r="BY118" s="3">
        <v>2.2999999999999998</v>
      </c>
      <c r="BZ118" s="3" t="s">
        <v>134</v>
      </c>
      <c r="CA118" s="3" t="s">
        <v>134</v>
      </c>
      <c r="CB118" s="33">
        <v>7</v>
      </c>
      <c r="CC118" s="34">
        <v>0.04</v>
      </c>
      <c r="CD118" s="3">
        <v>95</v>
      </c>
      <c r="CE118" s="3">
        <v>98</v>
      </c>
      <c r="CF118" s="3">
        <v>98</v>
      </c>
      <c r="CG118" s="3">
        <v>90</v>
      </c>
      <c r="CH118" s="3" t="s">
        <v>181</v>
      </c>
      <c r="CI118" s="3" t="s">
        <v>161</v>
      </c>
      <c r="CJ118" s="3" t="s">
        <v>161</v>
      </c>
      <c r="CK118" s="49" t="s">
        <v>163</v>
      </c>
      <c r="CL118" s="3"/>
      <c r="CM118" s="3" t="s">
        <v>178</v>
      </c>
      <c r="CN118" s="3" t="s">
        <v>161</v>
      </c>
      <c r="CO118" s="3" t="s">
        <v>161</v>
      </c>
      <c r="CP118" s="49" t="s">
        <v>163</v>
      </c>
      <c r="CQ118" s="49"/>
      <c r="CR118" s="3"/>
      <c r="CS118" t="s">
        <v>160</v>
      </c>
      <c r="CT118" t="s">
        <v>160</v>
      </c>
      <c r="CU118" s="3">
        <v>100</v>
      </c>
      <c r="CV118" s="3">
        <v>100</v>
      </c>
      <c r="CW118" s="3">
        <v>100</v>
      </c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5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3"/>
      <c r="GG118" s="3"/>
      <c r="GH118" s="3"/>
      <c r="GI118" s="3"/>
      <c r="GJ118" s="3"/>
    </row>
    <row r="119" spans="1:192" s="54" customFormat="1" ht="15.75" customHeight="1">
      <c r="A119" s="190">
        <v>20092</v>
      </c>
      <c r="B119" s="36" t="s">
        <v>150</v>
      </c>
      <c r="C119" s="2">
        <v>54.2</v>
      </c>
      <c r="D119" s="2">
        <v>7</v>
      </c>
      <c r="E119" s="2">
        <v>2</v>
      </c>
      <c r="F119" s="2">
        <v>9</v>
      </c>
      <c r="G119" s="2">
        <v>9.8000000000000007</v>
      </c>
      <c r="H119" s="2">
        <v>2.8</v>
      </c>
      <c r="I119" s="35">
        <v>5.5</v>
      </c>
      <c r="J119" s="2" t="s">
        <v>210</v>
      </c>
      <c r="K119" s="40">
        <v>6.0339999999999998E-2</v>
      </c>
      <c r="L119" s="40">
        <v>4.1399999999999996E-3</v>
      </c>
      <c r="M119" s="40">
        <v>1.43E-2</v>
      </c>
      <c r="N119" s="100">
        <v>3.5000000000000003E-2</v>
      </c>
      <c r="O119" s="100">
        <v>7.0000000000000001E-3</v>
      </c>
      <c r="P119" s="100">
        <v>2.1700000000000001E-2</v>
      </c>
      <c r="Q119" s="40">
        <v>0.38200000000000001</v>
      </c>
      <c r="R119" s="40">
        <v>6.0000000000000001E-3</v>
      </c>
      <c r="S119" s="40">
        <v>6.0999999999999999E-2</v>
      </c>
      <c r="T119" s="40">
        <v>0</v>
      </c>
      <c r="U119" s="40">
        <v>0.53300000000000003</v>
      </c>
      <c r="V119" s="40">
        <v>1.7999999999999999E-2</v>
      </c>
      <c r="W119" s="36">
        <v>36</v>
      </c>
      <c r="X119" s="40">
        <v>0.36</v>
      </c>
      <c r="Y119" s="57">
        <v>63</v>
      </c>
      <c r="Z119" s="40">
        <v>6.0000000000000001E-3</v>
      </c>
      <c r="AA119" s="40">
        <v>5.7000000000000002E-2</v>
      </c>
      <c r="AB119" s="40">
        <v>0</v>
      </c>
      <c r="AC119" s="40">
        <v>0.503</v>
      </c>
      <c r="AD119" s="40">
        <v>0.56000000000000005</v>
      </c>
      <c r="AE119" s="40">
        <v>1.7000000000000001E-2</v>
      </c>
      <c r="AF119" s="36" t="s">
        <v>129</v>
      </c>
      <c r="AG119" s="38" t="s">
        <v>130</v>
      </c>
      <c r="AH119" s="36" t="s">
        <v>146</v>
      </c>
      <c r="AI119" s="36">
        <v>16</v>
      </c>
      <c r="AJ119" s="36">
        <v>64</v>
      </c>
      <c r="AK119" s="36">
        <v>65</v>
      </c>
      <c r="AL119" s="2" t="s">
        <v>132</v>
      </c>
      <c r="AM119" s="2">
        <v>73</v>
      </c>
      <c r="AN119" s="36">
        <v>43</v>
      </c>
      <c r="AO119" s="2">
        <v>8</v>
      </c>
      <c r="AP119" s="2">
        <v>13</v>
      </c>
      <c r="AQ119" s="2">
        <v>37</v>
      </c>
      <c r="AR119" s="2">
        <v>93</v>
      </c>
      <c r="AS119" s="2">
        <v>37</v>
      </c>
      <c r="AT119" s="2">
        <v>93</v>
      </c>
      <c r="AU119" s="2">
        <v>79</v>
      </c>
      <c r="AV119" s="2">
        <v>99</v>
      </c>
      <c r="AW119" s="2">
        <v>76</v>
      </c>
      <c r="AX119" s="2">
        <v>95</v>
      </c>
      <c r="AY119" s="46">
        <f>NORMINV(AV119/100,0,1)-NORMINV(1-(AX119/100),0,1)</f>
        <v>3.9712015009923123</v>
      </c>
      <c r="AZ119" s="31">
        <f t="shared" si="16"/>
        <v>3.7363973499319703</v>
      </c>
      <c r="BA119" s="2">
        <v>28</v>
      </c>
      <c r="BB119" s="2">
        <v>93</v>
      </c>
      <c r="BC119" s="2">
        <v>14</v>
      </c>
      <c r="BD119" s="2">
        <v>93</v>
      </c>
      <c r="BE119" s="2">
        <v>14</v>
      </c>
      <c r="BF119" s="2">
        <v>93</v>
      </c>
      <c r="BG119" s="2">
        <v>25</v>
      </c>
      <c r="BH119" s="2">
        <v>83</v>
      </c>
      <c r="BI119" s="2">
        <v>30</v>
      </c>
      <c r="BJ119" s="2">
        <v>100</v>
      </c>
      <c r="BK119" s="2">
        <v>57</v>
      </c>
      <c r="BL119" s="2">
        <v>89</v>
      </c>
      <c r="BM119" s="2">
        <v>183</v>
      </c>
      <c r="BN119" s="2">
        <v>95</v>
      </c>
      <c r="BO119" s="47">
        <v>90</v>
      </c>
      <c r="BP119" s="2">
        <v>50</v>
      </c>
      <c r="BQ119" s="2">
        <v>96</v>
      </c>
      <c r="BR119" s="2" t="s">
        <v>148</v>
      </c>
      <c r="BS119" s="2">
        <v>1.8</v>
      </c>
      <c r="BT119" s="2">
        <v>32</v>
      </c>
      <c r="BU119" s="2">
        <v>80</v>
      </c>
      <c r="BV119" s="2">
        <v>3.47</v>
      </c>
      <c r="BW119" s="2">
        <v>38</v>
      </c>
      <c r="BX119" s="2">
        <v>95</v>
      </c>
      <c r="BY119" s="2">
        <v>5</v>
      </c>
      <c r="BZ119" s="2" t="s">
        <v>271</v>
      </c>
      <c r="CA119" s="2" t="s">
        <v>271</v>
      </c>
      <c r="CB119" s="154">
        <v>84</v>
      </c>
      <c r="CC119" s="154">
        <v>0.48</v>
      </c>
      <c r="CD119" s="2">
        <v>99</v>
      </c>
      <c r="CE119" s="2">
        <v>99</v>
      </c>
      <c r="CF119" s="2">
        <v>99</v>
      </c>
      <c r="CG119" s="2">
        <v>100</v>
      </c>
      <c r="CH119" s="2" t="s">
        <v>140</v>
      </c>
      <c r="CI119" s="2" t="s">
        <v>136</v>
      </c>
      <c r="CJ119" s="82" t="s">
        <v>141</v>
      </c>
      <c r="CK119" s="82" t="s">
        <v>142</v>
      </c>
      <c r="CL119" s="39" t="s">
        <v>272</v>
      </c>
      <c r="CM119" s="2" t="s">
        <v>209</v>
      </c>
      <c r="CN119" s="2" t="s">
        <v>136</v>
      </c>
      <c r="CO119" s="82" t="s">
        <v>141</v>
      </c>
      <c r="CP119" s="82" t="s">
        <v>142</v>
      </c>
      <c r="CQ119" s="82"/>
      <c r="CR119" s="39"/>
      <c r="CS119" s="59" t="s">
        <v>140</v>
      </c>
      <c r="CT119" s="59" t="s">
        <v>140</v>
      </c>
      <c r="CU119" s="2">
        <v>100</v>
      </c>
      <c r="CV119" s="2">
        <v>100</v>
      </c>
      <c r="CW119" s="2">
        <v>100</v>
      </c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35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</row>
    <row r="120" spans="1:192" ht="60">
      <c r="A120" s="190">
        <v>20093</v>
      </c>
      <c r="B120" s="23" t="s">
        <v>127</v>
      </c>
      <c r="C120" s="3">
        <v>41.4</v>
      </c>
      <c r="D120" s="1">
        <v>3</v>
      </c>
      <c r="E120" s="3">
        <v>7</v>
      </c>
      <c r="F120" s="1">
        <v>10</v>
      </c>
      <c r="G120" s="3">
        <v>4.0999999999999996</v>
      </c>
      <c r="H120" s="1">
        <v>2.7</v>
      </c>
      <c r="I120" s="15">
        <v>3.9</v>
      </c>
      <c r="J120" s="3" t="s">
        <v>241</v>
      </c>
      <c r="K120" s="27">
        <v>5.0000000000000001E-3</v>
      </c>
      <c r="L120" s="27">
        <v>1.9630000000000002E-2</v>
      </c>
      <c r="M120" s="27">
        <v>5.9799999999999999E-2</v>
      </c>
      <c r="N120" s="27">
        <v>5.0000000000000001E-3</v>
      </c>
      <c r="O120" s="27">
        <v>1.9630000000000002E-2</v>
      </c>
      <c r="P120" s="27">
        <v>5.9799999999999999E-2</v>
      </c>
      <c r="Q120" s="27">
        <v>0.27300000000000002</v>
      </c>
      <c r="R120" s="27">
        <v>3.1E-2</v>
      </c>
      <c r="S120" s="27">
        <v>0.28000000000000003</v>
      </c>
      <c r="T120" s="27">
        <v>1.9E-2</v>
      </c>
      <c r="U120" s="27">
        <v>0.23</v>
      </c>
      <c r="V120" s="27">
        <v>0.16800000000000001</v>
      </c>
      <c r="W120" s="52">
        <v>25</v>
      </c>
      <c r="X120" s="27">
        <v>0.251</v>
      </c>
      <c r="Y120" s="52">
        <v>44</v>
      </c>
      <c r="Z120" s="27">
        <v>2.9000000000000001E-2</v>
      </c>
      <c r="AA120" s="27">
        <v>0.25700000000000001</v>
      </c>
      <c r="AB120" s="27">
        <v>1.7000000000000001E-2</v>
      </c>
      <c r="AC120" s="27">
        <v>0.21099999999999999</v>
      </c>
      <c r="AD120" s="27">
        <f>AC120+AA120</f>
        <v>0.46799999999999997</v>
      </c>
      <c r="AE120" s="27">
        <v>0.154</v>
      </c>
      <c r="AF120" s="1" t="s">
        <v>167</v>
      </c>
      <c r="AG120" s="3" t="s">
        <v>130</v>
      </c>
      <c r="AH120" s="3" t="s">
        <v>146</v>
      </c>
      <c r="AI120" s="3">
        <v>14</v>
      </c>
      <c r="AJ120" s="3">
        <v>65</v>
      </c>
      <c r="AK120" s="3">
        <v>3</v>
      </c>
      <c r="AL120" s="3" t="s">
        <v>132</v>
      </c>
      <c r="AM120" s="1">
        <v>69</v>
      </c>
      <c r="AN120" s="3">
        <v>39</v>
      </c>
      <c r="AO120" s="1">
        <v>5</v>
      </c>
      <c r="AP120" s="3">
        <v>8</v>
      </c>
      <c r="AQ120" s="1">
        <v>38</v>
      </c>
      <c r="AR120" s="3">
        <v>95</v>
      </c>
      <c r="AS120" s="1">
        <v>30</v>
      </c>
      <c r="AT120" s="3">
        <v>75</v>
      </c>
      <c r="AU120" s="1">
        <v>71</v>
      </c>
      <c r="AV120" s="3">
        <v>89</v>
      </c>
      <c r="AW120" s="1">
        <v>72</v>
      </c>
      <c r="AX120" s="3">
        <v>90</v>
      </c>
      <c r="AY120" s="30">
        <f>NORMINV(AV120/100,0,1)-NORMINV(1-(AX120/100),0,1)</f>
        <v>2.5080796855812109</v>
      </c>
      <c r="AZ120" s="31">
        <f t="shared" si="16"/>
        <v>2.4552184481040347</v>
      </c>
      <c r="BA120" s="1">
        <v>22</v>
      </c>
      <c r="BB120" s="3">
        <v>73</v>
      </c>
      <c r="BC120" s="1">
        <v>12</v>
      </c>
      <c r="BD120" s="3">
        <v>80</v>
      </c>
      <c r="BE120" s="1">
        <v>10</v>
      </c>
      <c r="BF120" s="3">
        <v>67</v>
      </c>
      <c r="BG120" s="1">
        <v>12</v>
      </c>
      <c r="BH120" s="3">
        <v>40</v>
      </c>
      <c r="BI120" s="1">
        <v>22</v>
      </c>
      <c r="BJ120" s="3">
        <v>73</v>
      </c>
      <c r="BK120" s="1">
        <v>46</v>
      </c>
      <c r="BL120" s="3">
        <v>72</v>
      </c>
      <c r="BM120" s="1">
        <v>112</v>
      </c>
      <c r="BN120" s="3">
        <v>51</v>
      </c>
      <c r="BO120" s="21">
        <f>(BM120/204)*100</f>
        <v>54.901960784313729</v>
      </c>
      <c r="BP120" s="1">
        <v>48</v>
      </c>
      <c r="BQ120" s="3">
        <v>92</v>
      </c>
      <c r="BR120" s="80" t="s">
        <v>133</v>
      </c>
      <c r="BS120" s="3">
        <v>1.2</v>
      </c>
      <c r="BT120" s="1"/>
      <c r="BU120" s="3">
        <v>73</v>
      </c>
      <c r="BV120" s="3">
        <v>0.5</v>
      </c>
      <c r="BW120" s="1"/>
      <c r="BX120" s="3">
        <v>70</v>
      </c>
      <c r="BY120" s="3">
        <v>0.5</v>
      </c>
      <c r="BZ120" s="3" t="s">
        <v>134</v>
      </c>
      <c r="CA120" s="3" t="s">
        <v>134</v>
      </c>
      <c r="CB120" s="33">
        <v>26</v>
      </c>
      <c r="CC120" s="34">
        <v>0.14857142857142858</v>
      </c>
      <c r="CD120" s="3">
        <v>75</v>
      </c>
      <c r="CE120" s="3">
        <v>79</v>
      </c>
      <c r="CF120" s="3">
        <v>91</v>
      </c>
      <c r="CG120" s="1"/>
      <c r="CH120" s="5"/>
      <c r="CI120" s="3" t="s">
        <v>136</v>
      </c>
      <c r="CJ120" s="3" t="s">
        <v>136</v>
      </c>
      <c r="CK120" s="49" t="s">
        <v>142</v>
      </c>
      <c r="CL120" s="49"/>
      <c r="CM120" s="3" t="s">
        <v>273</v>
      </c>
      <c r="CN120" s="3" t="s">
        <v>188</v>
      </c>
      <c r="CO120" s="13"/>
      <c r="CP120" s="13"/>
      <c r="CQ120" s="13"/>
      <c r="CR120" s="1" t="s">
        <v>138</v>
      </c>
      <c r="CS120" s="1" t="s">
        <v>138</v>
      </c>
      <c r="CT120" s="1" t="s">
        <v>138</v>
      </c>
      <c r="CU120" s="1" t="s">
        <v>138</v>
      </c>
      <c r="CV120" s="1" t="s">
        <v>138</v>
      </c>
      <c r="CW120" s="1" t="s">
        <v>138</v>
      </c>
    </row>
    <row r="121" spans="1:192" s="54" customFormat="1">
      <c r="A121" s="190">
        <v>20093</v>
      </c>
      <c r="B121" s="10"/>
      <c r="C121" s="10">
        <v>48.5</v>
      </c>
      <c r="D121" s="10">
        <v>3</v>
      </c>
      <c r="E121" s="10">
        <v>8</v>
      </c>
      <c r="F121" s="10">
        <v>11</v>
      </c>
      <c r="G121" s="10">
        <v>5.95</v>
      </c>
      <c r="H121" s="10">
        <v>2</v>
      </c>
      <c r="I121" s="35">
        <v>5.3</v>
      </c>
      <c r="J121" s="10" t="s">
        <v>241</v>
      </c>
      <c r="K121" s="62">
        <v>2.0580000000000001E-2</v>
      </c>
      <c r="L121" s="62">
        <v>1.873E-2</v>
      </c>
      <c r="M121" s="62">
        <v>3.279E-2</v>
      </c>
      <c r="N121" s="62">
        <v>2.0580000000000001E-2</v>
      </c>
      <c r="O121" s="62">
        <v>1.873E-2</v>
      </c>
      <c r="P121" s="62">
        <v>3.279E-2</v>
      </c>
      <c r="Q121" s="62">
        <v>0.66900000000000004</v>
      </c>
      <c r="R121" s="62">
        <v>4.1000000000000002E-2</v>
      </c>
      <c r="S121" s="62">
        <v>0.11</v>
      </c>
      <c r="T121" s="62">
        <v>2.9000000000000001E-2</v>
      </c>
      <c r="U121" s="62">
        <v>0.13400000000000001</v>
      </c>
      <c r="V121" s="62">
        <v>1.7000000000000001E-2</v>
      </c>
      <c r="W121" s="10">
        <v>66</v>
      </c>
      <c r="X121" s="62">
        <v>0.65700000000000003</v>
      </c>
      <c r="Y121" s="10">
        <v>115</v>
      </c>
      <c r="Z121" s="62">
        <v>0.04</v>
      </c>
      <c r="AA121" s="62">
        <v>0.109</v>
      </c>
      <c r="AB121" s="62">
        <v>2.9000000000000001E-2</v>
      </c>
      <c r="AC121" s="62">
        <v>0.13100000000000001</v>
      </c>
      <c r="AD121" s="62">
        <v>0.24</v>
      </c>
      <c r="AE121" s="62">
        <v>1.7000000000000001E-2</v>
      </c>
      <c r="AF121" s="12" t="s">
        <v>167</v>
      </c>
      <c r="AG121" s="10" t="s">
        <v>130</v>
      </c>
      <c r="AH121" s="10" t="s">
        <v>146</v>
      </c>
      <c r="AI121" s="10">
        <v>14</v>
      </c>
      <c r="AJ121" s="10">
        <v>72</v>
      </c>
      <c r="AK121" s="10">
        <v>65</v>
      </c>
      <c r="AL121" s="10" t="s">
        <v>132</v>
      </c>
      <c r="AM121" s="78" t="s">
        <v>165</v>
      </c>
      <c r="AN121" s="78" t="s">
        <v>165</v>
      </c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31">
        <f t="shared" si="16"/>
        <v>-5.0042129466861276</v>
      </c>
      <c r="BA121" s="10"/>
      <c r="BB121" s="10"/>
      <c r="BC121" s="10"/>
      <c r="BD121" s="10"/>
      <c r="BE121" s="10"/>
      <c r="BF121" s="10"/>
      <c r="BG121" s="10">
        <v>14</v>
      </c>
      <c r="BH121" s="10">
        <v>47</v>
      </c>
      <c r="BI121" s="10">
        <v>23</v>
      </c>
      <c r="BJ121" s="10">
        <v>77</v>
      </c>
      <c r="BK121" s="10">
        <v>47</v>
      </c>
      <c r="BL121" s="10">
        <v>73</v>
      </c>
      <c r="BM121" s="10"/>
      <c r="BN121" s="10"/>
      <c r="BO121" s="10"/>
      <c r="BP121" s="10">
        <v>51</v>
      </c>
      <c r="BQ121" s="10">
        <v>98</v>
      </c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78" t="s">
        <v>165</v>
      </c>
      <c r="CC121" s="78" t="s">
        <v>165</v>
      </c>
      <c r="CD121" s="10"/>
      <c r="CE121" s="10"/>
      <c r="CF121" s="10"/>
      <c r="CG121" s="10"/>
      <c r="CH121" s="10"/>
      <c r="CI121" s="10"/>
      <c r="CJ121" s="10"/>
      <c r="CK121" s="10"/>
      <c r="CL121" s="10"/>
      <c r="CM121" s="10" t="s">
        <v>209</v>
      </c>
      <c r="CN121" s="10"/>
      <c r="CO121" s="10"/>
      <c r="CP121" s="10"/>
      <c r="CQ121" s="10"/>
      <c r="CR121" s="10"/>
      <c r="CS121" s="10"/>
      <c r="CT121" s="10"/>
      <c r="CU121" s="10"/>
      <c r="CV121" s="10"/>
      <c r="CW121" s="12"/>
      <c r="CX121" s="10"/>
      <c r="CY121" s="10"/>
      <c r="CZ121" s="10"/>
      <c r="DA121" s="10"/>
      <c r="DB121" s="10"/>
      <c r="DC121" s="10"/>
      <c r="DD121" s="10"/>
      <c r="DE121" s="10"/>
      <c r="DF121" s="10"/>
      <c r="DG121" s="10"/>
      <c r="DH121" s="10"/>
      <c r="DI121" s="10"/>
      <c r="DJ121" s="35"/>
      <c r="DK121" s="10"/>
      <c r="DL121" s="10"/>
      <c r="DM121" s="10"/>
      <c r="DN121" s="10"/>
      <c r="DO121" s="10"/>
      <c r="DP121" s="10"/>
      <c r="DQ121" s="10"/>
      <c r="DR121" s="10"/>
      <c r="DS121" s="10"/>
      <c r="DT121" s="10"/>
      <c r="DU121" s="10"/>
      <c r="DV121" s="10"/>
      <c r="DW121" s="10"/>
      <c r="DX121" s="10"/>
      <c r="DY121" s="10"/>
      <c r="DZ121" s="10"/>
      <c r="EA121" s="10"/>
      <c r="EB121" s="10"/>
      <c r="EC121" s="10"/>
      <c r="ED121" s="10"/>
      <c r="EE121" s="10"/>
      <c r="EF121" s="10"/>
      <c r="EG121" s="10"/>
      <c r="EH121" s="10"/>
      <c r="EI121" s="10"/>
      <c r="EJ121" s="10"/>
      <c r="EK121" s="10"/>
      <c r="EL121" s="10"/>
      <c r="EM121" s="10"/>
      <c r="EN121" s="10"/>
      <c r="EO121" s="10"/>
      <c r="EP121" s="10"/>
      <c r="EQ121" s="10"/>
      <c r="ER121" s="10"/>
      <c r="ES121" s="10"/>
      <c r="ET121" s="10"/>
      <c r="EU121" s="10"/>
      <c r="EV121" s="10"/>
      <c r="EW121" s="10"/>
      <c r="EX121" s="10"/>
      <c r="EY121" s="10"/>
      <c r="EZ121" s="10"/>
      <c r="FA121" s="10"/>
      <c r="FB121" s="10"/>
      <c r="FC121" s="10"/>
      <c r="FD121" s="10"/>
      <c r="FE121" s="10"/>
      <c r="FF121" s="10"/>
      <c r="FG121" s="10"/>
      <c r="FH121" s="10"/>
      <c r="FI121" s="10"/>
      <c r="FJ121" s="10"/>
      <c r="FK121" s="10"/>
      <c r="FL121" s="10"/>
      <c r="FM121" s="10"/>
      <c r="FN121" s="10"/>
      <c r="FO121" s="10"/>
      <c r="FP121" s="10"/>
      <c r="FQ121" s="10"/>
      <c r="FR121" s="10"/>
      <c r="FS121" s="10"/>
      <c r="FT121" s="10"/>
      <c r="FU121" s="10"/>
      <c r="FV121" s="10"/>
      <c r="FW121" s="10"/>
      <c r="FX121" s="10"/>
      <c r="FY121" s="10"/>
      <c r="FZ121" s="10"/>
      <c r="GA121" s="10"/>
      <c r="GB121" s="10"/>
      <c r="GC121" s="10"/>
      <c r="GD121" s="10"/>
      <c r="GE121" s="10"/>
      <c r="GF121" s="10"/>
      <c r="GG121" s="10"/>
      <c r="GH121" s="10"/>
      <c r="GI121" s="10"/>
      <c r="GJ121" s="10"/>
    </row>
    <row r="122" spans="1:192" s="10" customFormat="1" ht="60">
      <c r="A122" s="190">
        <v>20094</v>
      </c>
      <c r="B122" s="51" t="s">
        <v>127</v>
      </c>
      <c r="C122" s="3">
        <v>44.3</v>
      </c>
      <c r="D122" s="1">
        <v>4</v>
      </c>
      <c r="E122" s="3">
        <v>7</v>
      </c>
      <c r="F122" s="1">
        <v>11</v>
      </c>
      <c r="G122" s="3">
        <v>4.8</v>
      </c>
      <c r="H122" s="1">
        <v>3.9</v>
      </c>
      <c r="I122" s="1">
        <v>2.4</v>
      </c>
      <c r="J122" s="3" t="s">
        <v>241</v>
      </c>
      <c r="K122" s="27">
        <v>3.96E-3</v>
      </c>
      <c r="L122" s="27">
        <v>2.2270000000000002E-2</v>
      </c>
      <c r="M122" s="27">
        <v>0.10344</v>
      </c>
      <c r="N122" s="27">
        <v>3.96E-3</v>
      </c>
      <c r="O122" s="27">
        <v>2.2270000000000002E-2</v>
      </c>
      <c r="P122" s="27">
        <v>0.10344</v>
      </c>
      <c r="Q122" s="27">
        <v>0.28599999999999998</v>
      </c>
      <c r="R122" s="27">
        <v>4.8000000000000001E-2</v>
      </c>
      <c r="S122" s="27">
        <v>7.0999999999999994E-2</v>
      </c>
      <c r="T122" s="27">
        <v>4.8000000000000001E-2</v>
      </c>
      <c r="U122" s="27">
        <v>0.14299999999999999</v>
      </c>
      <c r="V122" s="27">
        <v>0.40500000000000003</v>
      </c>
      <c r="W122" s="52">
        <v>7</v>
      </c>
      <c r="X122" s="27">
        <v>6.9000000000000006E-2</v>
      </c>
      <c r="Y122" s="52">
        <v>12</v>
      </c>
      <c r="Z122" s="27">
        <v>1.0999999999999999E-2</v>
      </c>
      <c r="AA122" s="27">
        <v>1.7000000000000001E-2</v>
      </c>
      <c r="AB122" s="27">
        <v>1.0999999999999999E-2</v>
      </c>
      <c r="AC122" s="75">
        <v>3.4000000000000002E-2</v>
      </c>
      <c r="AD122" s="75">
        <f>AC122+AA122</f>
        <v>5.1000000000000004E-2</v>
      </c>
      <c r="AE122" s="27">
        <v>9.7000000000000003E-2</v>
      </c>
      <c r="AF122" s="1" t="s">
        <v>129</v>
      </c>
      <c r="AG122" s="3" t="s">
        <v>130</v>
      </c>
      <c r="AH122" s="3" t="s">
        <v>146</v>
      </c>
      <c r="AI122" s="3">
        <v>21</v>
      </c>
      <c r="AJ122" s="3">
        <v>60</v>
      </c>
      <c r="AK122" s="3">
        <v>8</v>
      </c>
      <c r="AL122" s="3" t="s">
        <v>132</v>
      </c>
      <c r="AM122" s="1">
        <v>116</v>
      </c>
      <c r="AN122" s="3">
        <v>66</v>
      </c>
      <c r="AO122" s="1">
        <v>26</v>
      </c>
      <c r="AP122" s="3">
        <v>43</v>
      </c>
      <c r="AQ122" s="1">
        <v>36</v>
      </c>
      <c r="AR122" s="3">
        <v>90</v>
      </c>
      <c r="AS122" s="1">
        <v>28</v>
      </c>
      <c r="AT122" s="3">
        <v>70</v>
      </c>
      <c r="AU122" s="1">
        <v>73</v>
      </c>
      <c r="AV122" s="3">
        <v>91</v>
      </c>
      <c r="AW122" s="1">
        <v>68</v>
      </c>
      <c r="AX122" s="3">
        <v>85</v>
      </c>
      <c r="AY122" s="30">
        <f>NORMINV(AV122/100,0,1)-NORMINV(1-(AX122/100),0,1)</f>
        <v>2.3771884231840059</v>
      </c>
      <c r="AZ122" s="31">
        <f t="shared" si="16"/>
        <v>2.3282896976683838</v>
      </c>
      <c r="BA122" s="1">
        <v>18</v>
      </c>
      <c r="BB122" s="3">
        <v>60</v>
      </c>
      <c r="BC122" s="1">
        <v>11</v>
      </c>
      <c r="BD122" s="3">
        <v>73</v>
      </c>
      <c r="BE122" s="1">
        <v>7</v>
      </c>
      <c r="BF122" s="3">
        <v>47</v>
      </c>
      <c r="BG122" s="1">
        <v>19</v>
      </c>
      <c r="BH122" s="3">
        <v>63</v>
      </c>
      <c r="BI122" s="1">
        <v>25</v>
      </c>
      <c r="BJ122" s="3">
        <v>83</v>
      </c>
      <c r="BK122" s="1">
        <v>24</v>
      </c>
      <c r="BL122" s="3">
        <v>38</v>
      </c>
      <c r="BM122" s="1">
        <v>132</v>
      </c>
      <c r="BN122" s="3">
        <v>69</v>
      </c>
      <c r="BO122" s="21">
        <f>(BM122/204)*100</f>
        <v>64.705882352941174</v>
      </c>
      <c r="BP122" s="1">
        <v>41</v>
      </c>
      <c r="BQ122" s="3">
        <v>79</v>
      </c>
      <c r="BR122" s="80" t="s">
        <v>133</v>
      </c>
      <c r="BS122" s="3">
        <v>1</v>
      </c>
      <c r="BT122" s="1">
        <v>19</v>
      </c>
      <c r="BU122" s="3">
        <v>48</v>
      </c>
      <c r="BV122" s="3">
        <v>0.5</v>
      </c>
      <c r="BW122" s="1">
        <v>27</v>
      </c>
      <c r="BX122" s="3">
        <v>90</v>
      </c>
      <c r="BY122" s="3">
        <v>1.6</v>
      </c>
      <c r="BZ122" s="3" t="s">
        <v>134</v>
      </c>
      <c r="CA122" s="3" t="s">
        <v>134</v>
      </c>
      <c r="CB122" s="33">
        <v>31</v>
      </c>
      <c r="CC122" s="34">
        <v>0.17714285714285713</v>
      </c>
      <c r="CD122" s="3">
        <v>78</v>
      </c>
      <c r="CE122" s="3">
        <v>78</v>
      </c>
      <c r="CF122" s="3">
        <v>93</v>
      </c>
      <c r="CG122" s="1">
        <v>85</v>
      </c>
      <c r="CH122" s="5" t="s">
        <v>140</v>
      </c>
      <c r="CI122" s="3" t="s">
        <v>188</v>
      </c>
      <c r="CJ122" s="13"/>
      <c r="CK122" s="13"/>
      <c r="CL122" s="1" t="s">
        <v>274</v>
      </c>
      <c r="CM122" s="3" t="s">
        <v>275</v>
      </c>
      <c r="CN122" s="3" t="s">
        <v>188</v>
      </c>
      <c r="CO122" s="13"/>
      <c r="CP122" s="13"/>
      <c r="CQ122" s="13"/>
      <c r="CR122" s="1" t="s">
        <v>274</v>
      </c>
      <c r="CS122" s="1" t="s">
        <v>138</v>
      </c>
      <c r="CT122" s="1" t="s">
        <v>138</v>
      </c>
      <c r="CU122" s="1" t="s">
        <v>138</v>
      </c>
      <c r="CV122" s="1" t="s">
        <v>138</v>
      </c>
      <c r="CW122" s="1" t="s">
        <v>138</v>
      </c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  <c r="GD122" s="3"/>
      <c r="GE122" s="3"/>
      <c r="GF122" s="3"/>
      <c r="GG122" s="3"/>
      <c r="GH122" s="3"/>
      <c r="GI122" s="3"/>
      <c r="GJ122" s="3"/>
    </row>
    <row r="123" spans="1:192" s="13" customFormat="1">
      <c r="A123" s="190">
        <v>20095</v>
      </c>
      <c r="B123" s="8"/>
      <c r="C123" s="10">
        <v>43.7</v>
      </c>
      <c r="D123" s="10">
        <v>7</v>
      </c>
      <c r="E123" s="10">
        <v>4</v>
      </c>
      <c r="F123" s="10">
        <v>11</v>
      </c>
      <c r="G123" s="10">
        <v>7.45</v>
      </c>
      <c r="H123" s="10">
        <v>2.2000000000000002</v>
      </c>
      <c r="I123" s="35">
        <v>1.2</v>
      </c>
      <c r="J123" s="10" t="s">
        <v>210</v>
      </c>
      <c r="K123" s="77">
        <v>2.0580000000000001E-2</v>
      </c>
      <c r="L123" s="77">
        <v>1.873E-2</v>
      </c>
      <c r="M123" s="77">
        <v>3.4700000000000002E-2</v>
      </c>
      <c r="N123" s="77">
        <v>2.0580000000000001E-2</v>
      </c>
      <c r="O123" s="77">
        <v>1.873E-2</v>
      </c>
      <c r="P123" s="77">
        <v>3.4700000000000002E-2</v>
      </c>
      <c r="Q123" s="77">
        <v>0.63200000000000001</v>
      </c>
      <c r="R123" s="77">
        <v>0.11799999999999999</v>
      </c>
      <c r="S123" s="77">
        <v>1.4999999999999999E-2</v>
      </c>
      <c r="T123" s="77">
        <v>4.3999999999999997E-2</v>
      </c>
      <c r="U123" s="77">
        <v>0.191</v>
      </c>
      <c r="V123" s="77">
        <v>0</v>
      </c>
      <c r="W123" s="8">
        <v>25</v>
      </c>
      <c r="X123" s="77">
        <v>0.246</v>
      </c>
      <c r="Y123" s="8">
        <v>43</v>
      </c>
      <c r="Z123" s="77">
        <v>4.5999999999999999E-2</v>
      </c>
      <c r="AA123" s="77">
        <v>6.0000000000000001E-3</v>
      </c>
      <c r="AB123" s="77">
        <v>1.7000000000000001E-2</v>
      </c>
      <c r="AC123" s="77">
        <v>7.3999999999999996E-2</v>
      </c>
      <c r="AD123" s="77">
        <v>0.08</v>
      </c>
      <c r="AE123" s="77">
        <v>0</v>
      </c>
      <c r="AF123" s="10" t="s">
        <v>129</v>
      </c>
      <c r="AG123" s="10" t="s">
        <v>130</v>
      </c>
      <c r="AH123" s="10" t="s">
        <v>276</v>
      </c>
      <c r="AI123" s="10">
        <v>12</v>
      </c>
      <c r="AJ123" s="10">
        <v>49</v>
      </c>
      <c r="AK123" s="10">
        <v>114</v>
      </c>
      <c r="AL123" s="10" t="s">
        <v>132</v>
      </c>
      <c r="AM123" s="78" t="s">
        <v>165</v>
      </c>
      <c r="AN123" s="78" t="s">
        <v>165</v>
      </c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31">
        <f t="shared" si="16"/>
        <v>-5.0042129466861276</v>
      </c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 t="s">
        <v>148</v>
      </c>
      <c r="BS123" s="8">
        <v>2.2000000000000002</v>
      </c>
      <c r="BT123" s="8"/>
      <c r="BU123" s="8"/>
      <c r="BV123" s="8"/>
      <c r="BW123" s="8"/>
      <c r="BX123" s="8"/>
      <c r="BY123" s="8"/>
      <c r="BZ123" s="8" t="s">
        <v>249</v>
      </c>
      <c r="CA123" s="8" t="s">
        <v>249</v>
      </c>
      <c r="CB123" s="78" t="s">
        <v>165</v>
      </c>
      <c r="CC123" s="78" t="s">
        <v>165</v>
      </c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  <c r="DA123" s="8"/>
      <c r="DB123" s="8"/>
      <c r="DC123" s="8"/>
      <c r="DD123" s="8"/>
      <c r="DE123" s="8"/>
      <c r="DF123" s="8"/>
      <c r="DG123" s="8"/>
      <c r="DH123" s="8"/>
      <c r="DI123" s="8"/>
      <c r="DJ123" s="79"/>
      <c r="DK123" s="8"/>
      <c r="DL123" s="8"/>
      <c r="DM123" s="8"/>
      <c r="DN123" s="8"/>
      <c r="DO123" s="8"/>
      <c r="DP123" s="8"/>
      <c r="DQ123" s="8"/>
      <c r="DR123" s="8"/>
      <c r="DS123" s="8"/>
      <c r="DT123" s="8"/>
      <c r="DU123" s="8"/>
      <c r="DV123" s="10"/>
      <c r="DW123" s="10"/>
      <c r="DX123" s="10"/>
      <c r="DY123" s="10"/>
      <c r="DZ123" s="10"/>
      <c r="EA123" s="10"/>
      <c r="EB123" s="10"/>
      <c r="EC123" s="10"/>
      <c r="ED123" s="10"/>
      <c r="EE123" s="10"/>
      <c r="EF123" s="10"/>
      <c r="EG123" s="10"/>
      <c r="EH123" s="10"/>
      <c r="EI123" s="10"/>
      <c r="EJ123" s="10"/>
      <c r="EK123" s="10"/>
      <c r="EL123" s="10"/>
      <c r="EM123" s="10"/>
      <c r="EN123" s="10"/>
      <c r="EO123" s="10"/>
      <c r="EP123" s="10"/>
      <c r="EQ123" s="10"/>
      <c r="ER123" s="10"/>
      <c r="ES123" s="10"/>
      <c r="ET123" s="10"/>
      <c r="EU123" s="10"/>
      <c r="EV123" s="10"/>
      <c r="EW123" s="10"/>
      <c r="EX123" s="10"/>
      <c r="EY123" s="10"/>
      <c r="EZ123" s="10"/>
      <c r="FA123" s="10"/>
      <c r="FB123" s="10"/>
      <c r="FC123" s="10"/>
      <c r="FD123" s="10"/>
      <c r="FE123" s="10"/>
      <c r="FF123" s="10"/>
      <c r="FG123" s="10"/>
      <c r="FH123" s="10"/>
      <c r="FI123" s="10"/>
      <c r="FJ123" s="10"/>
      <c r="FK123" s="10"/>
      <c r="FL123" s="10"/>
      <c r="FM123" s="10"/>
      <c r="FN123" s="10"/>
      <c r="FO123" s="10"/>
      <c r="FP123" s="10"/>
      <c r="FQ123" s="10"/>
      <c r="FR123" s="10"/>
      <c r="FS123" s="10"/>
      <c r="FT123" s="10"/>
      <c r="FU123" s="10"/>
      <c r="FV123" s="10"/>
      <c r="FW123" s="10"/>
      <c r="FX123" s="10"/>
      <c r="FY123" s="10"/>
      <c r="FZ123" s="10"/>
      <c r="GA123" s="10"/>
      <c r="GB123" s="10"/>
      <c r="GC123" s="10"/>
      <c r="GD123" s="10"/>
      <c r="GE123" s="10"/>
      <c r="GF123" s="10"/>
      <c r="GG123" s="10"/>
      <c r="GH123" s="10"/>
      <c r="GI123" s="10"/>
      <c r="GJ123" s="10"/>
    </row>
    <row r="124" spans="1:192" ht="60">
      <c r="A124" s="190">
        <v>20096</v>
      </c>
      <c r="B124" s="23" t="s">
        <v>166</v>
      </c>
      <c r="C124" s="3">
        <v>48.4</v>
      </c>
      <c r="D124" s="3">
        <v>5</v>
      </c>
      <c r="E124" s="3">
        <v>5</v>
      </c>
      <c r="F124" s="3">
        <v>10</v>
      </c>
      <c r="G124" s="3">
        <v>6.8</v>
      </c>
      <c r="H124" s="3">
        <v>4.0999999999999996</v>
      </c>
      <c r="I124" s="35">
        <v>3.3</v>
      </c>
      <c r="J124" s="3" t="s">
        <v>277</v>
      </c>
      <c r="K124" s="27">
        <v>9.0600000000000003E-3</v>
      </c>
      <c r="L124" s="27">
        <v>1.298E-2</v>
      </c>
      <c r="M124" s="27">
        <v>1.8290000000000001E-2</v>
      </c>
      <c r="N124" s="27">
        <v>9.0600000000000003E-3</v>
      </c>
      <c r="O124" s="27">
        <v>1.298E-2</v>
      </c>
      <c r="P124" s="27">
        <v>1.8290000000000001E-2</v>
      </c>
      <c r="Q124" s="27">
        <v>0.25</v>
      </c>
      <c r="R124" s="27">
        <v>9.7000000000000003E-2</v>
      </c>
      <c r="S124" s="27">
        <v>0.11799999999999999</v>
      </c>
      <c r="T124" s="27">
        <v>2.8000000000000001E-2</v>
      </c>
      <c r="U124" s="27">
        <v>0.36799999999999999</v>
      </c>
      <c r="V124" s="27">
        <v>0.13900000000000001</v>
      </c>
      <c r="W124" s="52">
        <v>21</v>
      </c>
      <c r="X124" s="27">
        <v>0.20599999999999999</v>
      </c>
      <c r="Y124" s="52">
        <v>36</v>
      </c>
      <c r="Z124" s="27">
        <v>0.08</v>
      </c>
      <c r="AA124" s="27">
        <v>9.7000000000000003E-2</v>
      </c>
      <c r="AB124" s="27">
        <v>2.3E-2</v>
      </c>
      <c r="AC124" s="27">
        <v>0.30299999999999999</v>
      </c>
      <c r="AD124" s="27">
        <f t="shared" ref="AD124:AD137" si="17">AC124+AA124</f>
        <v>0.4</v>
      </c>
      <c r="AE124" s="27">
        <v>0.114</v>
      </c>
      <c r="AF124" s="27" t="s">
        <v>129</v>
      </c>
      <c r="AG124" s="3" t="s">
        <v>130</v>
      </c>
      <c r="AH124" s="3" t="s">
        <v>276</v>
      </c>
      <c r="AI124" s="3">
        <v>12</v>
      </c>
      <c r="AJ124" s="3">
        <v>62</v>
      </c>
      <c r="AK124" s="3">
        <v>37</v>
      </c>
      <c r="AL124" s="3" t="s">
        <v>278</v>
      </c>
      <c r="AM124" s="3">
        <v>94</v>
      </c>
      <c r="AN124" s="3">
        <v>54</v>
      </c>
      <c r="AO124" s="3">
        <v>5</v>
      </c>
      <c r="AP124" s="3">
        <v>8</v>
      </c>
      <c r="AQ124" s="3">
        <v>21</v>
      </c>
      <c r="AR124" s="3">
        <v>53</v>
      </c>
      <c r="AS124" s="3">
        <v>20</v>
      </c>
      <c r="AT124" s="3">
        <v>50</v>
      </c>
      <c r="AU124" s="3">
        <v>43</v>
      </c>
      <c r="AV124" s="3">
        <v>54</v>
      </c>
      <c r="AW124" s="3">
        <v>55</v>
      </c>
      <c r="AX124" s="3">
        <v>69</v>
      </c>
      <c r="AY124" s="30">
        <f t="shared" ref="AY124:AY137" si="18">NORMINV(AV124/100,0,1)-NORMINV(1-(AX124/100),0,1)</f>
        <v>0.59628406785892318</v>
      </c>
      <c r="AZ124" s="31">
        <f t="shared" si="16"/>
        <v>0.588402060649036</v>
      </c>
      <c r="BA124" s="3">
        <v>19</v>
      </c>
      <c r="BB124" s="3">
        <v>63</v>
      </c>
      <c r="BC124" s="3">
        <v>10</v>
      </c>
      <c r="BD124" s="3">
        <v>67</v>
      </c>
      <c r="BE124" s="3">
        <v>9</v>
      </c>
      <c r="BF124" s="3">
        <v>60</v>
      </c>
      <c r="BG124" s="3">
        <v>20</v>
      </c>
      <c r="BH124" s="3">
        <v>67</v>
      </c>
      <c r="BI124" s="3">
        <v>22</v>
      </c>
      <c r="BJ124" s="3">
        <v>73</v>
      </c>
      <c r="BK124" s="3">
        <v>34</v>
      </c>
      <c r="BL124" s="3">
        <v>53</v>
      </c>
      <c r="BM124" s="3">
        <v>117</v>
      </c>
      <c r="BN124" s="3">
        <v>55</v>
      </c>
      <c r="BO124" s="21">
        <f>(BM124/204)*100</f>
        <v>57.352941176470587</v>
      </c>
      <c r="BP124" s="3">
        <v>32</v>
      </c>
      <c r="BQ124" s="3">
        <v>64</v>
      </c>
      <c r="BR124" s="3" t="s">
        <v>185</v>
      </c>
      <c r="BS124" s="3">
        <v>1</v>
      </c>
      <c r="BT124" s="3">
        <v>24</v>
      </c>
      <c r="BU124" s="3">
        <v>60</v>
      </c>
      <c r="BV124" s="3">
        <v>0.5</v>
      </c>
      <c r="BW124" s="3">
        <v>27</v>
      </c>
      <c r="BX124" s="3">
        <v>68</v>
      </c>
      <c r="BY124" s="3">
        <v>0.5</v>
      </c>
      <c r="BZ124" s="3" t="s">
        <v>271</v>
      </c>
      <c r="CA124" s="3" t="s">
        <v>271</v>
      </c>
      <c r="CB124" s="33">
        <v>32</v>
      </c>
      <c r="CC124" s="34">
        <v>0.18285714285714286</v>
      </c>
      <c r="CD124" s="3">
        <v>61</v>
      </c>
      <c r="CE124" s="3">
        <v>73</v>
      </c>
      <c r="CF124" s="3">
        <v>70</v>
      </c>
      <c r="CG124" s="3">
        <v>90</v>
      </c>
      <c r="CH124" s="3" t="s">
        <v>140</v>
      </c>
      <c r="CI124" s="3" t="s">
        <v>136</v>
      </c>
      <c r="CJ124" s="3" t="s">
        <v>136</v>
      </c>
      <c r="CK124" s="49" t="s">
        <v>142</v>
      </c>
      <c r="CL124" s="49"/>
      <c r="CM124" s="3" t="s">
        <v>275</v>
      </c>
      <c r="CN124" s="3" t="s">
        <v>188</v>
      </c>
      <c r="CO124" s="13"/>
      <c r="CP124" s="13"/>
      <c r="CQ124" s="13"/>
      <c r="CR124" s="1" t="s">
        <v>138</v>
      </c>
      <c r="CS124" s="1" t="s">
        <v>138</v>
      </c>
      <c r="CT124" s="1" t="s">
        <v>138</v>
      </c>
      <c r="CU124" s="1" t="s">
        <v>138</v>
      </c>
      <c r="CV124" s="1" t="s">
        <v>138</v>
      </c>
      <c r="CW124" s="1" t="s">
        <v>138</v>
      </c>
    </row>
    <row r="125" spans="1:192" s="13" customFormat="1" ht="60">
      <c r="A125" s="190">
        <v>20097</v>
      </c>
      <c r="B125" s="23" t="s">
        <v>166</v>
      </c>
      <c r="C125" s="3">
        <v>30.4</v>
      </c>
      <c r="D125" s="3">
        <v>3</v>
      </c>
      <c r="E125" s="3">
        <v>2</v>
      </c>
      <c r="F125" s="3">
        <v>5</v>
      </c>
      <c r="G125" s="3">
        <v>4.7</v>
      </c>
      <c r="H125" s="3">
        <v>3.8</v>
      </c>
      <c r="I125" s="3">
        <v>1.7</v>
      </c>
      <c r="J125" s="3" t="s">
        <v>210</v>
      </c>
      <c r="K125" s="27">
        <v>1.06E-3</v>
      </c>
      <c r="L125" s="27">
        <v>1.4E-2</v>
      </c>
      <c r="M125" s="27">
        <v>7.6999999999999999E-2</v>
      </c>
      <c r="N125" s="27">
        <v>1.06E-3</v>
      </c>
      <c r="O125" s="27">
        <v>1.4E-2</v>
      </c>
      <c r="P125" s="27">
        <v>7.6999999999999999E-2</v>
      </c>
      <c r="Q125" s="27">
        <v>2.1000000000000001E-2</v>
      </c>
      <c r="R125" s="27">
        <v>2.1000000000000001E-2</v>
      </c>
      <c r="S125" s="27">
        <v>0.221</v>
      </c>
      <c r="T125" s="27">
        <v>1.0999999999999999E-2</v>
      </c>
      <c r="U125" s="27">
        <v>0.4</v>
      </c>
      <c r="V125" s="27">
        <v>0.32600000000000001</v>
      </c>
      <c r="W125" s="52">
        <v>1</v>
      </c>
      <c r="X125" s="27">
        <v>1.0999999999999999E-2</v>
      </c>
      <c r="Y125" s="52">
        <v>2</v>
      </c>
      <c r="Z125" s="27">
        <v>1.0999999999999999E-2</v>
      </c>
      <c r="AA125" s="27">
        <v>0.12</v>
      </c>
      <c r="AB125" s="27">
        <v>6.0000000000000001E-3</v>
      </c>
      <c r="AC125" s="27">
        <v>0.217</v>
      </c>
      <c r="AD125" s="27">
        <f t="shared" si="17"/>
        <v>0.33699999999999997</v>
      </c>
      <c r="AE125" s="27">
        <v>0.17699999999999999</v>
      </c>
      <c r="AF125" s="3" t="s">
        <v>129</v>
      </c>
      <c r="AG125" s="3" t="s">
        <v>130</v>
      </c>
      <c r="AH125" s="3" t="s">
        <v>131</v>
      </c>
      <c r="AI125" s="3">
        <v>12</v>
      </c>
      <c r="AJ125" s="3">
        <v>65</v>
      </c>
      <c r="AK125" s="3">
        <v>10</v>
      </c>
      <c r="AL125" s="3" t="s">
        <v>132</v>
      </c>
      <c r="AM125" s="3">
        <v>101</v>
      </c>
      <c r="AN125" s="3">
        <v>58</v>
      </c>
      <c r="AO125" s="3">
        <v>15</v>
      </c>
      <c r="AP125" s="3">
        <v>25</v>
      </c>
      <c r="AQ125" s="3">
        <v>28</v>
      </c>
      <c r="AR125" s="3">
        <v>70</v>
      </c>
      <c r="AS125" s="3">
        <v>30</v>
      </c>
      <c r="AT125" s="3">
        <v>75</v>
      </c>
      <c r="AU125" s="3">
        <v>59</v>
      </c>
      <c r="AV125" s="3">
        <v>74</v>
      </c>
      <c r="AW125" s="3">
        <v>74</v>
      </c>
      <c r="AX125" s="3">
        <v>93</v>
      </c>
      <c r="AY125" s="30">
        <f t="shared" si="18"/>
        <v>2.1191364335720877</v>
      </c>
      <c r="AZ125" s="31">
        <f t="shared" si="16"/>
        <v>2.0715918876168766</v>
      </c>
      <c r="BA125" s="3">
        <v>16</v>
      </c>
      <c r="BB125" s="3">
        <v>53</v>
      </c>
      <c r="BC125" s="3">
        <v>9</v>
      </c>
      <c r="BD125" s="3">
        <v>60</v>
      </c>
      <c r="BE125" s="3">
        <v>7</v>
      </c>
      <c r="BF125" s="3">
        <v>47</v>
      </c>
      <c r="BG125" s="3">
        <v>14</v>
      </c>
      <c r="BH125" s="3">
        <v>47</v>
      </c>
      <c r="BI125" s="3">
        <v>19</v>
      </c>
      <c r="BJ125" s="3">
        <v>63</v>
      </c>
      <c r="BK125" s="3">
        <v>38</v>
      </c>
      <c r="BL125" s="3">
        <v>59</v>
      </c>
      <c r="BM125" s="3">
        <v>19</v>
      </c>
      <c r="BN125" s="3">
        <v>40</v>
      </c>
      <c r="BO125" s="21">
        <f>(BM125/204)*100</f>
        <v>9.3137254901960791</v>
      </c>
      <c r="BP125" s="3">
        <v>36</v>
      </c>
      <c r="BQ125" s="3">
        <v>69</v>
      </c>
      <c r="BR125" s="3" t="s">
        <v>133</v>
      </c>
      <c r="BS125" s="3">
        <v>1.4</v>
      </c>
      <c r="BT125" s="3">
        <v>32</v>
      </c>
      <c r="BU125" s="3">
        <v>80</v>
      </c>
      <c r="BV125" s="3">
        <v>2</v>
      </c>
      <c r="BW125" s="3">
        <v>27</v>
      </c>
      <c r="BX125" s="3">
        <v>68</v>
      </c>
      <c r="BY125" s="3">
        <v>0.5</v>
      </c>
      <c r="BZ125" s="3" t="s">
        <v>221</v>
      </c>
      <c r="CA125" s="3" t="s">
        <v>221</v>
      </c>
      <c r="CB125" s="33">
        <v>67</v>
      </c>
      <c r="CC125" s="34">
        <v>0.38285714285714284</v>
      </c>
      <c r="CD125" s="3">
        <v>40</v>
      </c>
      <c r="CE125" s="3">
        <v>41</v>
      </c>
      <c r="CF125" s="3">
        <v>70</v>
      </c>
      <c r="CG125" s="3">
        <v>100</v>
      </c>
      <c r="CH125" s="3" t="s">
        <v>140</v>
      </c>
      <c r="CI125" s="3" t="s">
        <v>188</v>
      </c>
      <c r="CL125" s="1" t="s">
        <v>234</v>
      </c>
      <c r="CM125" s="3" t="s">
        <v>149</v>
      </c>
      <c r="CN125" s="3" t="s">
        <v>188</v>
      </c>
      <c r="CR125" s="1" t="s">
        <v>234</v>
      </c>
      <c r="CS125" s="1" t="s">
        <v>138</v>
      </c>
      <c r="CT125" s="1" t="s">
        <v>138</v>
      </c>
      <c r="CU125" s="1" t="s">
        <v>138</v>
      </c>
      <c r="CV125" s="1" t="s">
        <v>138</v>
      </c>
      <c r="CW125" s="1" t="s">
        <v>138</v>
      </c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3"/>
      <c r="GG125" s="3"/>
      <c r="GH125" s="3"/>
      <c r="GI125" s="3"/>
      <c r="GJ125" s="3"/>
    </row>
    <row r="126" spans="1:192" ht="60">
      <c r="A126" s="190">
        <v>20098</v>
      </c>
      <c r="B126" s="23" t="s">
        <v>240</v>
      </c>
      <c r="C126" s="3">
        <v>76.599999999999994</v>
      </c>
      <c r="D126" s="3">
        <v>8</v>
      </c>
      <c r="E126" s="3">
        <v>8</v>
      </c>
      <c r="F126" s="3">
        <v>16</v>
      </c>
      <c r="G126" s="3">
        <v>8.9</v>
      </c>
      <c r="H126" s="3">
        <v>5.9</v>
      </c>
      <c r="I126" s="35">
        <v>7.5</v>
      </c>
      <c r="J126" s="3" t="s">
        <v>279</v>
      </c>
      <c r="K126" s="27">
        <v>2.7040000000000002E-2</v>
      </c>
      <c r="L126" s="27">
        <v>1.9449999999999999E-2</v>
      </c>
      <c r="M126" s="27">
        <v>1.728E-2</v>
      </c>
      <c r="N126" s="27">
        <v>2.7040000000000002E-2</v>
      </c>
      <c r="O126" s="27">
        <v>1.9449999999999999E-2</v>
      </c>
      <c r="P126" s="27">
        <v>1.728E-2</v>
      </c>
      <c r="Q126" s="27">
        <v>0.78100000000000003</v>
      </c>
      <c r="R126" s="27">
        <v>1.7999999999999999E-2</v>
      </c>
      <c r="S126" s="27">
        <v>3.5999999999999997E-2</v>
      </c>
      <c r="T126" s="27">
        <v>1.2E-2</v>
      </c>
      <c r="U126" s="27">
        <v>0.14199999999999999</v>
      </c>
      <c r="V126" s="27">
        <v>1.2E-2</v>
      </c>
      <c r="W126" s="52">
        <v>75</v>
      </c>
      <c r="X126" s="27">
        <v>0.754</v>
      </c>
      <c r="Y126" s="52">
        <v>132</v>
      </c>
      <c r="Z126" s="27">
        <v>1.7000000000000001E-2</v>
      </c>
      <c r="AA126" s="27">
        <v>3.4000000000000002E-2</v>
      </c>
      <c r="AB126" s="27">
        <v>1.0999999999999999E-2</v>
      </c>
      <c r="AC126" s="27">
        <v>0.13700000000000001</v>
      </c>
      <c r="AD126" s="27">
        <f t="shared" si="17"/>
        <v>0.17100000000000001</v>
      </c>
      <c r="AE126" s="27">
        <v>1.0999999999999999E-2</v>
      </c>
      <c r="AF126" s="3" t="s">
        <v>172</v>
      </c>
      <c r="AG126" s="3" t="s">
        <v>156</v>
      </c>
      <c r="AH126" s="3" t="s">
        <v>177</v>
      </c>
      <c r="AI126" s="3">
        <v>18</v>
      </c>
      <c r="AJ126" s="3">
        <v>65</v>
      </c>
      <c r="AK126" s="3">
        <v>9</v>
      </c>
      <c r="AL126" s="3" t="s">
        <v>158</v>
      </c>
      <c r="AM126" s="3">
        <v>116</v>
      </c>
      <c r="AN126" s="3">
        <v>66</v>
      </c>
      <c r="AO126" s="3">
        <v>8</v>
      </c>
      <c r="AP126" s="3">
        <v>13</v>
      </c>
      <c r="AQ126" s="3">
        <v>32</v>
      </c>
      <c r="AR126" s="3">
        <v>80</v>
      </c>
      <c r="AS126" s="3">
        <v>32</v>
      </c>
      <c r="AT126" s="3">
        <v>80</v>
      </c>
      <c r="AU126" s="3">
        <v>72</v>
      </c>
      <c r="AV126" s="3">
        <v>90</v>
      </c>
      <c r="AW126" s="3">
        <v>67</v>
      </c>
      <c r="AX126" s="3">
        <v>84</v>
      </c>
      <c r="AY126" s="30">
        <f t="shared" si="18"/>
        <v>2.2760094487543503</v>
      </c>
      <c r="AZ126" s="31">
        <f t="shared" si="16"/>
        <v>2.2312566930418987</v>
      </c>
      <c r="BA126" s="3">
        <v>28</v>
      </c>
      <c r="BB126" s="3">
        <v>93</v>
      </c>
      <c r="BC126" s="3">
        <v>15</v>
      </c>
      <c r="BD126" s="3">
        <v>100</v>
      </c>
      <c r="BE126" s="3">
        <v>13</v>
      </c>
      <c r="BF126" s="3">
        <v>87</v>
      </c>
      <c r="BG126" s="3">
        <v>23</v>
      </c>
      <c r="BH126" s="3">
        <v>77</v>
      </c>
      <c r="BI126" s="3">
        <v>28</v>
      </c>
      <c r="BJ126" s="3">
        <v>93</v>
      </c>
      <c r="BK126" s="3">
        <v>45</v>
      </c>
      <c r="BL126" s="3">
        <v>70</v>
      </c>
      <c r="BM126" s="3">
        <v>173</v>
      </c>
      <c r="BN126" s="3">
        <v>88</v>
      </c>
      <c r="BO126" s="21">
        <f>(BM126/204)*100</f>
        <v>84.803921568627445</v>
      </c>
      <c r="BP126" s="3">
        <v>48</v>
      </c>
      <c r="BQ126" s="3">
        <v>92</v>
      </c>
      <c r="BR126" s="3" t="s">
        <v>133</v>
      </c>
      <c r="BS126" s="3">
        <v>2.4</v>
      </c>
      <c r="BT126" s="3">
        <v>37</v>
      </c>
      <c r="BU126" s="3">
        <v>93</v>
      </c>
      <c r="BV126" s="3">
        <v>2.79</v>
      </c>
      <c r="BW126" s="3">
        <v>35</v>
      </c>
      <c r="BX126" s="3">
        <v>88</v>
      </c>
      <c r="BY126" s="3">
        <v>2</v>
      </c>
      <c r="BZ126" s="3" t="s">
        <v>147</v>
      </c>
      <c r="CA126" s="3" t="s">
        <v>147</v>
      </c>
      <c r="CB126" s="33">
        <v>7</v>
      </c>
      <c r="CC126" s="34">
        <v>0.04</v>
      </c>
      <c r="CD126" s="3">
        <v>92</v>
      </c>
      <c r="CE126" s="3">
        <v>94</v>
      </c>
      <c r="CF126" s="3">
        <v>93</v>
      </c>
      <c r="CG126" s="3">
        <v>89</v>
      </c>
      <c r="CH126" s="3" t="s">
        <v>160</v>
      </c>
      <c r="CI126" s="3" t="s">
        <v>162</v>
      </c>
      <c r="CJ126" s="49" t="s">
        <v>195</v>
      </c>
      <c r="CK126" s="49" t="s">
        <v>163</v>
      </c>
      <c r="CM126" s="3" t="s">
        <v>254</v>
      </c>
      <c r="CN126" s="3" t="s">
        <v>136</v>
      </c>
      <c r="CO126" s="49" t="s">
        <v>195</v>
      </c>
      <c r="CP126" s="49" t="s">
        <v>163</v>
      </c>
      <c r="CQ126" s="49"/>
      <c r="CS126" s="1" t="s">
        <v>138</v>
      </c>
      <c r="CT126" s="1" t="s">
        <v>138</v>
      </c>
      <c r="CU126" s="1" t="s">
        <v>138</v>
      </c>
      <c r="CV126" s="1" t="s">
        <v>138</v>
      </c>
      <c r="CW126" s="1" t="s">
        <v>138</v>
      </c>
    </row>
    <row r="127" spans="1:192" ht="60">
      <c r="A127" s="190">
        <v>20099</v>
      </c>
      <c r="B127" s="23" t="s">
        <v>166</v>
      </c>
      <c r="C127" s="3">
        <v>59.8</v>
      </c>
      <c r="D127" s="3">
        <v>7</v>
      </c>
      <c r="E127" s="3">
        <v>2</v>
      </c>
      <c r="F127" s="3">
        <v>9</v>
      </c>
      <c r="G127" s="3">
        <v>7.2</v>
      </c>
      <c r="H127" s="3">
        <v>7.6</v>
      </c>
      <c r="I127" s="35">
        <v>6.1</v>
      </c>
      <c r="J127" s="3" t="s">
        <v>233</v>
      </c>
      <c r="K127" s="27">
        <v>1.5520000000000001E-2</v>
      </c>
      <c r="L127" s="27">
        <v>2.6159999999999999E-2</v>
      </c>
      <c r="M127" s="27">
        <v>2.5360000000000001E-2</v>
      </c>
      <c r="N127" s="27">
        <v>1.5520000000000001E-2</v>
      </c>
      <c r="O127" s="27">
        <v>2.6159999999999999E-2</v>
      </c>
      <c r="P127" s="27">
        <v>2.5360000000000001E-2</v>
      </c>
      <c r="Q127" s="27">
        <v>0.61799999999999999</v>
      </c>
      <c r="R127" s="27">
        <v>0.14599999999999999</v>
      </c>
      <c r="S127" s="27">
        <v>5.6000000000000001E-2</v>
      </c>
      <c r="T127" s="27">
        <v>4.9000000000000002E-2</v>
      </c>
      <c r="U127" s="27">
        <v>6.3E-2</v>
      </c>
      <c r="V127" s="27">
        <v>6.9000000000000006E-2</v>
      </c>
      <c r="W127" s="52">
        <v>51</v>
      </c>
      <c r="X127" s="27">
        <v>0.50900000000000001</v>
      </c>
      <c r="Y127" s="52">
        <v>89</v>
      </c>
      <c r="Z127" s="27">
        <v>0.12</v>
      </c>
      <c r="AA127" s="27">
        <v>4.5999999999999999E-2</v>
      </c>
      <c r="AB127" s="27">
        <v>0.04</v>
      </c>
      <c r="AC127" s="27">
        <v>5.0999999999999997E-2</v>
      </c>
      <c r="AD127" s="27">
        <f t="shared" si="17"/>
        <v>9.7000000000000003E-2</v>
      </c>
      <c r="AE127" s="27">
        <v>5.7000000000000002E-2</v>
      </c>
      <c r="AF127" s="3" t="s">
        <v>129</v>
      </c>
      <c r="AG127" s="3" t="s">
        <v>130</v>
      </c>
      <c r="AH127" s="3" t="s">
        <v>276</v>
      </c>
      <c r="AI127" s="3">
        <v>12</v>
      </c>
      <c r="AJ127" s="3">
        <v>71</v>
      </c>
      <c r="AK127" s="3">
        <v>3</v>
      </c>
      <c r="AL127" s="3" t="s">
        <v>132</v>
      </c>
      <c r="AM127" s="3">
        <v>168</v>
      </c>
      <c r="AN127" s="3">
        <v>96</v>
      </c>
      <c r="AO127" s="3">
        <v>13</v>
      </c>
      <c r="AP127" s="3">
        <v>22</v>
      </c>
      <c r="AQ127" s="3">
        <v>34</v>
      </c>
      <c r="AR127" s="3">
        <v>85</v>
      </c>
      <c r="AS127" s="3">
        <v>34</v>
      </c>
      <c r="AT127" s="3">
        <v>85</v>
      </c>
      <c r="AU127" s="3">
        <v>67</v>
      </c>
      <c r="AV127" s="3">
        <v>84</v>
      </c>
      <c r="AW127" s="3">
        <v>69</v>
      </c>
      <c r="AX127" s="3">
        <v>86</v>
      </c>
      <c r="AY127" s="30">
        <f t="shared" si="18"/>
        <v>2.0747772240247064</v>
      </c>
      <c r="AZ127" s="31">
        <f t="shared" si="16"/>
        <v>2.0379139523996157</v>
      </c>
      <c r="BA127" s="3">
        <v>21</v>
      </c>
      <c r="BB127" s="3">
        <v>70</v>
      </c>
      <c r="BC127" s="3">
        <v>10</v>
      </c>
      <c r="BD127" s="3">
        <v>67</v>
      </c>
      <c r="BE127" s="3">
        <v>11</v>
      </c>
      <c r="BF127" s="3">
        <v>73</v>
      </c>
      <c r="BG127" s="3">
        <v>20</v>
      </c>
      <c r="BH127" s="3">
        <v>67</v>
      </c>
      <c r="BI127" s="3">
        <v>27</v>
      </c>
      <c r="BJ127" s="3">
        <v>90</v>
      </c>
      <c r="BK127" s="3">
        <v>37</v>
      </c>
      <c r="BL127" s="3">
        <v>58</v>
      </c>
      <c r="BM127" s="3">
        <v>144</v>
      </c>
      <c r="BN127" s="3">
        <v>77</v>
      </c>
      <c r="BO127" s="21">
        <f>(BM127/204)*100</f>
        <v>70.588235294117652</v>
      </c>
      <c r="BP127" s="3">
        <v>44</v>
      </c>
      <c r="BQ127" s="3">
        <v>85</v>
      </c>
      <c r="BR127" s="3" t="s">
        <v>185</v>
      </c>
      <c r="BS127" s="3">
        <v>3.6</v>
      </c>
      <c r="BT127" s="3">
        <v>33</v>
      </c>
      <c r="BU127" s="3">
        <v>83</v>
      </c>
      <c r="BV127" s="3">
        <v>1.347</v>
      </c>
      <c r="BW127" s="3">
        <v>35</v>
      </c>
      <c r="BX127" s="3">
        <v>88</v>
      </c>
      <c r="BY127" s="3">
        <v>2</v>
      </c>
      <c r="BZ127" s="3" t="s">
        <v>271</v>
      </c>
      <c r="CA127" s="3" t="s">
        <v>271</v>
      </c>
      <c r="CB127" s="33">
        <v>4</v>
      </c>
      <c r="CC127" s="34">
        <v>2.2857142857142857E-2</v>
      </c>
      <c r="CD127" s="3">
        <v>88</v>
      </c>
      <c r="CE127" s="3">
        <v>91</v>
      </c>
      <c r="CF127" s="3">
        <v>94</v>
      </c>
      <c r="CG127" s="3">
        <v>100</v>
      </c>
      <c r="CH127" s="3" t="s">
        <v>135</v>
      </c>
      <c r="CI127" s="3" t="s">
        <v>136</v>
      </c>
      <c r="CJ127" s="3" t="s">
        <v>136</v>
      </c>
      <c r="CK127" s="49" t="s">
        <v>142</v>
      </c>
      <c r="CL127" s="49"/>
      <c r="CM127" s="3" t="s">
        <v>273</v>
      </c>
      <c r="CN127" s="3" t="s">
        <v>136</v>
      </c>
      <c r="CO127" s="49" t="s">
        <v>195</v>
      </c>
      <c r="CP127" s="49" t="s">
        <v>142</v>
      </c>
      <c r="CQ127" s="49"/>
      <c r="CR127" s="49"/>
      <c r="CS127" s="1" t="s">
        <v>138</v>
      </c>
      <c r="CT127" s="1" t="s">
        <v>138</v>
      </c>
      <c r="CU127" s="1" t="s">
        <v>138</v>
      </c>
      <c r="CV127" s="1" t="s">
        <v>138</v>
      </c>
      <c r="CW127" s="1" t="s">
        <v>138</v>
      </c>
    </row>
    <row r="128" spans="1:192" ht="30">
      <c r="A128" s="190">
        <v>20099</v>
      </c>
      <c r="B128" s="55" t="s">
        <v>150</v>
      </c>
      <c r="C128" s="2">
        <v>73.2</v>
      </c>
      <c r="D128" s="2">
        <v>8</v>
      </c>
      <c r="E128" s="2">
        <v>4</v>
      </c>
      <c r="F128" s="2">
        <v>12</v>
      </c>
      <c r="G128" s="2">
        <v>8.6999999999999993</v>
      </c>
      <c r="H128" s="2">
        <v>8.5</v>
      </c>
      <c r="I128" s="35">
        <v>7.4</v>
      </c>
      <c r="J128" s="2" t="s">
        <v>280</v>
      </c>
      <c r="K128" s="148">
        <v>9.9000000000000005E-2</v>
      </c>
      <c r="L128" s="148">
        <v>6.0000000000000001E-3</v>
      </c>
      <c r="M128" s="148">
        <v>6.8100000000000001E-3</v>
      </c>
      <c r="N128" s="148">
        <v>4.9000000000000002E-2</v>
      </c>
      <c r="O128" s="148">
        <v>1.7000000000000001E-2</v>
      </c>
      <c r="P128" s="148"/>
      <c r="Q128" s="148">
        <v>0.87</v>
      </c>
      <c r="R128" s="148">
        <v>4.4999999999999998E-2</v>
      </c>
      <c r="S128" s="148">
        <v>0</v>
      </c>
      <c r="T128" s="148">
        <v>2.5999999999999999E-2</v>
      </c>
      <c r="U128" s="148">
        <v>5.8000000000000003E-2</v>
      </c>
      <c r="V128" s="148">
        <v>0</v>
      </c>
      <c r="W128" s="57">
        <v>77</v>
      </c>
      <c r="X128" s="148">
        <v>0.76600000000000001</v>
      </c>
      <c r="Y128" s="57">
        <v>135</v>
      </c>
      <c r="Z128" s="148">
        <v>0.04</v>
      </c>
      <c r="AA128" s="148">
        <v>0</v>
      </c>
      <c r="AB128" s="148">
        <v>2.3E-2</v>
      </c>
      <c r="AC128" s="148">
        <v>5.0999999999999997E-2</v>
      </c>
      <c r="AD128" s="148">
        <f t="shared" si="17"/>
        <v>5.0999999999999997E-2</v>
      </c>
      <c r="AE128" s="148">
        <v>0</v>
      </c>
      <c r="AF128" s="2" t="s">
        <v>129</v>
      </c>
      <c r="AG128" s="2" t="s">
        <v>130</v>
      </c>
      <c r="AH128" s="2" t="s">
        <v>276</v>
      </c>
      <c r="AI128" s="2">
        <v>12</v>
      </c>
      <c r="AJ128" s="2">
        <v>73</v>
      </c>
      <c r="AK128" s="2">
        <v>24</v>
      </c>
      <c r="AL128" s="2" t="s">
        <v>158</v>
      </c>
      <c r="AM128" s="2">
        <v>167</v>
      </c>
      <c r="AN128" s="2">
        <v>95</v>
      </c>
      <c r="AO128" s="2">
        <v>15</v>
      </c>
      <c r="AP128" s="2">
        <v>25</v>
      </c>
      <c r="AQ128" s="2">
        <v>36</v>
      </c>
      <c r="AR128" s="2">
        <v>90</v>
      </c>
      <c r="AS128" s="2">
        <v>32</v>
      </c>
      <c r="AT128" s="2">
        <v>80</v>
      </c>
      <c r="AU128" s="2">
        <v>67</v>
      </c>
      <c r="AV128" s="2">
        <v>84</v>
      </c>
      <c r="AW128" s="2">
        <v>72</v>
      </c>
      <c r="AX128" s="2">
        <v>90</v>
      </c>
      <c r="AY128" s="46">
        <f t="shared" si="18"/>
        <v>2.2760094487543503</v>
      </c>
      <c r="AZ128" s="31">
        <f t="shared" si="16"/>
        <v>2.2312566930418987</v>
      </c>
      <c r="BA128" s="2">
        <v>17</v>
      </c>
      <c r="BB128" s="2">
        <v>57</v>
      </c>
      <c r="BC128" s="2">
        <v>9</v>
      </c>
      <c r="BD128" s="2">
        <v>60</v>
      </c>
      <c r="BE128" s="2">
        <v>8</v>
      </c>
      <c r="BF128" s="2">
        <v>53</v>
      </c>
      <c r="BG128" s="2">
        <v>20</v>
      </c>
      <c r="BH128" s="2">
        <v>67</v>
      </c>
      <c r="BI128" s="2">
        <v>29</v>
      </c>
      <c r="BJ128" s="2">
        <v>97</v>
      </c>
      <c r="BK128" s="2">
        <v>46</v>
      </c>
      <c r="BL128" s="2">
        <v>72</v>
      </c>
      <c r="BM128" s="2">
        <v>149</v>
      </c>
      <c r="BN128" s="2">
        <v>80</v>
      </c>
      <c r="BO128" s="47">
        <f>(BM128/204)*100</f>
        <v>73.039215686274503</v>
      </c>
      <c r="BP128" s="2">
        <v>48</v>
      </c>
      <c r="BQ128" s="2">
        <v>92</v>
      </c>
      <c r="BR128" s="2" t="s">
        <v>185</v>
      </c>
      <c r="BS128" s="2">
        <v>3</v>
      </c>
      <c r="BT128" s="2">
        <v>33</v>
      </c>
      <c r="BU128" s="2">
        <v>83</v>
      </c>
      <c r="BV128" s="2">
        <v>1.35</v>
      </c>
      <c r="BW128" s="2">
        <v>27</v>
      </c>
      <c r="BX128" s="2">
        <v>68</v>
      </c>
      <c r="BY128" s="2">
        <v>0.5</v>
      </c>
      <c r="BZ128" s="2" t="s">
        <v>186</v>
      </c>
      <c r="CA128" s="2" t="s">
        <v>186</v>
      </c>
      <c r="CB128" s="94">
        <v>5</v>
      </c>
      <c r="CC128" s="94">
        <v>2.9000000000000001E-2</v>
      </c>
      <c r="CD128" s="2">
        <v>94</v>
      </c>
      <c r="CE128" s="2">
        <v>96</v>
      </c>
      <c r="CF128" s="2">
        <v>96</v>
      </c>
      <c r="CG128" s="2">
        <v>100</v>
      </c>
      <c r="CH128" s="2" t="s">
        <v>160</v>
      </c>
      <c r="CI128" s="2" t="s">
        <v>162</v>
      </c>
      <c r="CJ128" s="2" t="s">
        <v>136</v>
      </c>
      <c r="CK128" s="82" t="s">
        <v>142</v>
      </c>
      <c r="CL128" s="82"/>
      <c r="CM128" s="2" t="s">
        <v>281</v>
      </c>
      <c r="CN128" s="2" t="s">
        <v>136</v>
      </c>
      <c r="CO128" s="39" t="s">
        <v>136</v>
      </c>
      <c r="CP128" s="39" t="s">
        <v>136</v>
      </c>
      <c r="CQ128" s="39">
        <v>1</v>
      </c>
      <c r="CR128" s="82"/>
      <c r="CS128" s="59" t="s">
        <v>282</v>
      </c>
      <c r="CT128" s="59" t="s">
        <v>282</v>
      </c>
      <c r="CU128" s="2">
        <v>100</v>
      </c>
      <c r="CV128" s="2">
        <v>92</v>
      </c>
      <c r="CW128" s="2">
        <v>96</v>
      </c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</row>
    <row r="129" spans="1:192" ht="45">
      <c r="A129" s="190">
        <v>20100</v>
      </c>
      <c r="B129" s="23" t="s">
        <v>166</v>
      </c>
      <c r="C129" s="3">
        <v>95.2</v>
      </c>
      <c r="D129" s="3">
        <v>10</v>
      </c>
      <c r="E129" s="3">
        <v>9</v>
      </c>
      <c r="F129" s="3">
        <v>19</v>
      </c>
      <c r="G129" s="3">
        <v>9.5</v>
      </c>
      <c r="H129" s="3">
        <v>9.6999999999999993</v>
      </c>
      <c r="I129" s="35">
        <v>9.4</v>
      </c>
      <c r="J129" s="3" t="s">
        <v>154</v>
      </c>
      <c r="K129" s="27">
        <v>2.5000000000000001E-2</v>
      </c>
      <c r="L129" s="27">
        <v>3.1E-2</v>
      </c>
      <c r="M129" s="27">
        <v>1.0999999999999999E-2</v>
      </c>
      <c r="N129" s="27">
        <v>2.5000000000000001E-2</v>
      </c>
      <c r="O129" s="27">
        <v>3.1E-2</v>
      </c>
      <c r="P129" s="27">
        <v>1.0999999999999999E-2</v>
      </c>
      <c r="Q129" s="27">
        <v>0.877</v>
      </c>
      <c r="R129" s="27">
        <v>7.6999999999999999E-2</v>
      </c>
      <c r="S129" s="27">
        <v>6.0000000000000001E-3</v>
      </c>
      <c r="T129" s="27">
        <v>1.2999999999999999E-2</v>
      </c>
      <c r="U129" s="27">
        <v>1.9E-2</v>
      </c>
      <c r="V129" s="27">
        <v>6.0000000000000001E-3</v>
      </c>
      <c r="W129" s="52">
        <v>78</v>
      </c>
      <c r="X129" s="27">
        <v>0.77700000000000002</v>
      </c>
      <c r="Y129" s="52">
        <v>136</v>
      </c>
      <c r="Z129" s="27">
        <v>6.9000000000000006E-2</v>
      </c>
      <c r="AA129" s="27">
        <v>6.0000000000000001E-3</v>
      </c>
      <c r="AB129" s="27">
        <v>1.0999999999999999E-2</v>
      </c>
      <c r="AC129" s="27">
        <v>1.7000000000000001E-2</v>
      </c>
      <c r="AD129" s="27">
        <f t="shared" si="17"/>
        <v>2.3E-2</v>
      </c>
      <c r="AE129" s="27">
        <v>6.0000000000000001E-3</v>
      </c>
      <c r="AF129" s="3" t="s">
        <v>155</v>
      </c>
      <c r="AG129" s="3" t="s">
        <v>156</v>
      </c>
      <c r="AH129" s="3" t="s">
        <v>253</v>
      </c>
      <c r="AI129" s="3">
        <v>12</v>
      </c>
      <c r="AJ129" s="3">
        <v>70</v>
      </c>
      <c r="AK129" s="3">
        <v>25</v>
      </c>
      <c r="AL129" s="3" t="s">
        <v>158</v>
      </c>
      <c r="AM129" s="3">
        <v>138</v>
      </c>
      <c r="AN129" s="3">
        <v>79</v>
      </c>
      <c r="AO129" s="3">
        <v>28</v>
      </c>
      <c r="AP129" s="3">
        <v>47</v>
      </c>
      <c r="AQ129" s="3">
        <v>33</v>
      </c>
      <c r="AR129" s="3">
        <v>83</v>
      </c>
      <c r="AS129" s="3">
        <v>30</v>
      </c>
      <c r="AT129" s="3">
        <v>75</v>
      </c>
      <c r="AU129" s="3">
        <v>68</v>
      </c>
      <c r="AV129" s="3">
        <v>85</v>
      </c>
      <c r="AW129" s="3">
        <v>57</v>
      </c>
      <c r="AX129" s="3">
        <v>71</v>
      </c>
      <c r="AY129" s="3">
        <f t="shared" si="18"/>
        <v>1.5898181090494625</v>
      </c>
      <c r="AZ129" s="31">
        <f t="shared" si="16"/>
        <v>1.5639022445824846</v>
      </c>
      <c r="BA129" s="3">
        <v>25</v>
      </c>
      <c r="BB129" s="3">
        <v>83</v>
      </c>
      <c r="BC129" s="3">
        <v>13</v>
      </c>
      <c r="BD129" s="3">
        <v>87</v>
      </c>
      <c r="BE129" s="3">
        <v>12</v>
      </c>
      <c r="BF129" s="3">
        <v>80</v>
      </c>
      <c r="BG129" s="3">
        <v>22</v>
      </c>
      <c r="BH129" s="3">
        <v>73</v>
      </c>
      <c r="BI129" s="3">
        <v>28</v>
      </c>
      <c r="BJ129" s="3">
        <v>93</v>
      </c>
      <c r="BK129" s="3">
        <v>43</v>
      </c>
      <c r="BL129" s="3">
        <v>67</v>
      </c>
      <c r="BM129" s="3">
        <v>143</v>
      </c>
      <c r="BN129" s="3">
        <v>75</v>
      </c>
      <c r="BO129" s="21">
        <v>70</v>
      </c>
      <c r="BP129" s="3">
        <v>39</v>
      </c>
      <c r="BQ129" s="3">
        <v>75</v>
      </c>
      <c r="BR129" s="3" t="s">
        <v>133</v>
      </c>
      <c r="BS129" s="3">
        <v>3.8</v>
      </c>
      <c r="BT129" s="3">
        <v>34</v>
      </c>
      <c r="BU129" s="3">
        <v>85</v>
      </c>
      <c r="BV129" s="3">
        <v>3.81</v>
      </c>
      <c r="BW129" s="3">
        <v>39</v>
      </c>
      <c r="BX129" s="3">
        <v>98</v>
      </c>
      <c r="BY129" s="3">
        <v>1.82</v>
      </c>
      <c r="BZ129" s="3" t="s">
        <v>147</v>
      </c>
      <c r="CA129" s="3" t="s">
        <v>147</v>
      </c>
      <c r="CB129" s="33">
        <v>1</v>
      </c>
      <c r="CC129" s="34">
        <v>5.7142857142857143E-3</v>
      </c>
      <c r="CD129" s="3">
        <v>96</v>
      </c>
      <c r="CE129" s="3">
        <v>98</v>
      </c>
      <c r="CF129" s="3">
        <v>97</v>
      </c>
      <c r="CG129" s="3">
        <v>80</v>
      </c>
      <c r="CH129" s="3" t="s">
        <v>283</v>
      </c>
      <c r="CI129" s="3" t="s">
        <v>161</v>
      </c>
      <c r="CJ129" s="49" t="s">
        <v>195</v>
      </c>
      <c r="CK129" s="49" t="s">
        <v>142</v>
      </c>
      <c r="CM129" s="3" t="s">
        <v>284</v>
      </c>
      <c r="CN129" s="3" t="s">
        <v>161</v>
      </c>
      <c r="CO129" s="49" t="s">
        <v>195</v>
      </c>
      <c r="CP129" s="112" t="s">
        <v>142</v>
      </c>
      <c r="CQ129" s="112"/>
      <c r="CS129" s="1" t="s">
        <v>255</v>
      </c>
      <c r="CT129" s="3" t="s">
        <v>230</v>
      </c>
      <c r="CU129" s="3">
        <v>100</v>
      </c>
      <c r="CV129" s="3">
        <v>100</v>
      </c>
      <c r="CW129" s="3">
        <v>96</v>
      </c>
    </row>
    <row r="130" spans="1:192" s="54" customFormat="1" ht="60">
      <c r="A130" s="190">
        <v>20101</v>
      </c>
      <c r="B130" s="51" t="s">
        <v>285</v>
      </c>
      <c r="C130" s="3">
        <v>84</v>
      </c>
      <c r="D130" s="3">
        <v>9</v>
      </c>
      <c r="E130" s="3">
        <v>8</v>
      </c>
      <c r="F130" s="3">
        <v>17</v>
      </c>
      <c r="G130" s="3">
        <v>9.6</v>
      </c>
      <c r="H130" s="3">
        <v>8.1999999999999993</v>
      </c>
      <c r="I130" s="35">
        <v>7.2</v>
      </c>
      <c r="J130" s="3" t="s">
        <v>154</v>
      </c>
      <c r="K130" s="27">
        <v>3.5150000000000001E-2</v>
      </c>
      <c r="L130" s="27">
        <v>1.1469999999999999E-2</v>
      </c>
      <c r="M130" s="27">
        <v>3.82E-3</v>
      </c>
      <c r="N130" s="27">
        <v>3.5150000000000001E-2</v>
      </c>
      <c r="O130" s="27">
        <v>1.1469999999999999E-2</v>
      </c>
      <c r="P130" s="27">
        <v>3.82E-3</v>
      </c>
      <c r="Q130" s="27">
        <v>0.59899999999999998</v>
      </c>
      <c r="R130" s="27">
        <v>2.4E-2</v>
      </c>
      <c r="S130" s="27">
        <v>5.3999999999999999E-2</v>
      </c>
      <c r="T130" s="27">
        <v>1.2E-2</v>
      </c>
      <c r="U130" s="27">
        <v>0.311</v>
      </c>
      <c r="V130" s="27">
        <v>0</v>
      </c>
      <c r="W130" s="52">
        <v>57</v>
      </c>
      <c r="X130" s="27">
        <v>0.57099999999999995</v>
      </c>
      <c r="Y130" s="52">
        <v>100</v>
      </c>
      <c r="Z130" s="27">
        <v>2.3E-2</v>
      </c>
      <c r="AA130" s="27">
        <v>5.0999999999999997E-2</v>
      </c>
      <c r="AB130" s="27">
        <v>1.0999999999999999E-2</v>
      </c>
      <c r="AC130" s="27">
        <v>0.29699999999999999</v>
      </c>
      <c r="AD130" s="27">
        <f t="shared" si="17"/>
        <v>0.34799999999999998</v>
      </c>
      <c r="AE130" s="27">
        <v>0</v>
      </c>
      <c r="AF130" s="3" t="s">
        <v>155</v>
      </c>
      <c r="AG130" s="3" t="s">
        <v>156</v>
      </c>
      <c r="AH130" s="3" t="s">
        <v>157</v>
      </c>
      <c r="AI130" s="3">
        <v>12</v>
      </c>
      <c r="AJ130" s="3">
        <v>45</v>
      </c>
      <c r="AK130" s="3">
        <v>29</v>
      </c>
      <c r="AL130" s="3" t="s">
        <v>158</v>
      </c>
      <c r="AM130" s="3">
        <v>100</v>
      </c>
      <c r="AN130" s="3">
        <v>57</v>
      </c>
      <c r="AO130" s="3">
        <v>13</v>
      </c>
      <c r="AP130" s="3">
        <v>22</v>
      </c>
      <c r="AQ130" s="3">
        <v>35</v>
      </c>
      <c r="AR130" s="3">
        <v>88</v>
      </c>
      <c r="AS130" s="3">
        <v>36</v>
      </c>
      <c r="AT130" s="3">
        <v>90</v>
      </c>
      <c r="AU130" s="3">
        <v>70</v>
      </c>
      <c r="AV130" s="3">
        <v>88</v>
      </c>
      <c r="AW130" s="3">
        <v>74</v>
      </c>
      <c r="AX130" s="3">
        <v>93</v>
      </c>
      <c r="AY130" s="30">
        <f t="shared" si="18"/>
        <v>2.6507778202452612</v>
      </c>
      <c r="AZ130" s="31">
        <f t="shared" si="16"/>
        <v>2.5892045259294596</v>
      </c>
      <c r="BA130" s="3">
        <v>23</v>
      </c>
      <c r="BB130" s="3">
        <v>77</v>
      </c>
      <c r="BC130" s="3">
        <v>12</v>
      </c>
      <c r="BD130" s="3">
        <v>80</v>
      </c>
      <c r="BE130" s="3">
        <v>11</v>
      </c>
      <c r="BF130" s="3">
        <v>73</v>
      </c>
      <c r="BG130" s="3">
        <v>24</v>
      </c>
      <c r="BH130" s="3">
        <v>80</v>
      </c>
      <c r="BI130" s="3">
        <v>30</v>
      </c>
      <c r="BJ130" s="3">
        <v>100</v>
      </c>
      <c r="BK130" s="3">
        <v>47</v>
      </c>
      <c r="BL130" s="3">
        <v>73</v>
      </c>
      <c r="BM130" s="3">
        <v>142</v>
      </c>
      <c r="BN130" s="3">
        <v>76</v>
      </c>
      <c r="BO130" s="21">
        <f t="shared" ref="BO130:BO137" si="19">(BM130/204)*100</f>
        <v>69.607843137254903</v>
      </c>
      <c r="BP130" s="3">
        <v>42</v>
      </c>
      <c r="BQ130" s="3">
        <v>81</v>
      </c>
      <c r="BR130" s="3" t="s">
        <v>133</v>
      </c>
      <c r="BS130" s="3">
        <v>3</v>
      </c>
      <c r="BT130" s="3">
        <v>38</v>
      </c>
      <c r="BU130" s="3">
        <v>95</v>
      </c>
      <c r="BV130" s="3">
        <v>2.15</v>
      </c>
      <c r="BW130" s="3">
        <v>37</v>
      </c>
      <c r="BX130" s="3">
        <v>93</v>
      </c>
      <c r="BY130" s="3">
        <v>3</v>
      </c>
      <c r="BZ130" s="3" t="s">
        <v>147</v>
      </c>
      <c r="CA130" s="3" t="s">
        <v>147</v>
      </c>
      <c r="CB130" s="33">
        <v>62</v>
      </c>
      <c r="CC130" s="34">
        <v>0.35428571428571426</v>
      </c>
      <c r="CD130" s="3">
        <v>95</v>
      </c>
      <c r="CE130" s="3">
        <v>96</v>
      </c>
      <c r="CF130" s="3">
        <v>99</v>
      </c>
      <c r="CG130" s="3">
        <v>70</v>
      </c>
      <c r="CH130" s="3" t="s">
        <v>181</v>
      </c>
      <c r="CI130" s="3" t="s">
        <v>162</v>
      </c>
      <c r="CJ130" s="3" t="s">
        <v>136</v>
      </c>
      <c r="CK130" s="49" t="s">
        <v>163</v>
      </c>
      <c r="CL130" s="3" t="s">
        <v>151</v>
      </c>
      <c r="CM130" s="3" t="s">
        <v>286</v>
      </c>
      <c r="CN130" s="3" t="s">
        <v>136</v>
      </c>
      <c r="CO130" s="3" t="s">
        <v>136</v>
      </c>
      <c r="CP130" s="3" t="s">
        <v>136</v>
      </c>
      <c r="CQ130" s="3">
        <v>1</v>
      </c>
      <c r="CR130" s="3"/>
      <c r="CS130" s="1" t="s">
        <v>138</v>
      </c>
      <c r="CT130" s="1" t="s">
        <v>138</v>
      </c>
      <c r="CU130" s="1" t="s">
        <v>138</v>
      </c>
      <c r="CV130" s="1" t="s">
        <v>138</v>
      </c>
      <c r="CW130" s="1" t="s">
        <v>138</v>
      </c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5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  <c r="FX130" s="3"/>
      <c r="FY130" s="3"/>
      <c r="FZ130" s="3"/>
      <c r="GA130" s="3"/>
      <c r="GB130" s="3"/>
      <c r="GC130" s="3"/>
      <c r="GD130" s="3"/>
      <c r="GE130" s="3"/>
      <c r="GF130" s="3"/>
      <c r="GG130" s="3"/>
      <c r="GH130" s="3"/>
      <c r="GI130" s="3"/>
      <c r="GJ130" s="3"/>
    </row>
    <row r="131" spans="1:192" ht="15.75" customHeight="1">
      <c r="A131" s="190">
        <v>20101</v>
      </c>
      <c r="B131" s="155" t="s">
        <v>150</v>
      </c>
      <c r="C131" s="54">
        <v>84</v>
      </c>
      <c r="D131" s="54">
        <v>9</v>
      </c>
      <c r="E131" s="54">
        <v>8</v>
      </c>
      <c r="F131" s="54">
        <v>17</v>
      </c>
      <c r="G131" s="54">
        <v>9.6</v>
      </c>
      <c r="H131" s="54">
        <v>8.1999999999999993</v>
      </c>
      <c r="I131" s="35">
        <v>7.2</v>
      </c>
      <c r="J131" s="54" t="s">
        <v>154</v>
      </c>
      <c r="K131" s="84">
        <v>3.5150000000000001E-2</v>
      </c>
      <c r="L131" s="84">
        <v>1.1469999999999999E-2</v>
      </c>
      <c r="M131" s="84">
        <v>3.82E-3</v>
      </c>
      <c r="N131" s="84">
        <v>3.5150000000000001E-2</v>
      </c>
      <c r="O131" s="84">
        <v>1.1469999999999999E-2</v>
      </c>
      <c r="P131" s="84">
        <v>3.82E-3</v>
      </c>
      <c r="Q131" s="84">
        <v>0.59899999999999998</v>
      </c>
      <c r="R131" s="84">
        <v>2.4E-2</v>
      </c>
      <c r="S131" s="84">
        <v>5.3999999999999999E-2</v>
      </c>
      <c r="T131" s="84">
        <v>1.2E-2</v>
      </c>
      <c r="U131" s="84">
        <v>0.311</v>
      </c>
      <c r="V131" s="84">
        <v>0</v>
      </c>
      <c r="W131" s="85">
        <v>57</v>
      </c>
      <c r="X131" s="84">
        <v>0.57099999999999995</v>
      </c>
      <c r="Y131" s="85">
        <v>100</v>
      </c>
      <c r="Z131" s="84">
        <v>2.3E-2</v>
      </c>
      <c r="AA131" s="84">
        <v>5.0999999999999997E-2</v>
      </c>
      <c r="AB131" s="84">
        <v>1.0999999999999999E-2</v>
      </c>
      <c r="AC131" s="84">
        <v>0.29699999999999999</v>
      </c>
      <c r="AD131" s="84">
        <f t="shared" si="17"/>
        <v>0.34799999999999998</v>
      </c>
      <c r="AE131" s="84">
        <v>0</v>
      </c>
      <c r="AF131" s="54" t="s">
        <v>155</v>
      </c>
      <c r="AG131" s="54" t="s">
        <v>156</v>
      </c>
      <c r="AH131" s="54" t="s">
        <v>157</v>
      </c>
      <c r="AI131" s="54">
        <v>12</v>
      </c>
      <c r="AJ131" s="54">
        <v>45</v>
      </c>
      <c r="AK131" s="54">
        <v>29</v>
      </c>
      <c r="AL131" s="54" t="s">
        <v>158</v>
      </c>
      <c r="AM131" s="54">
        <v>100</v>
      </c>
      <c r="AN131" s="54">
        <v>57</v>
      </c>
      <c r="AO131" s="54">
        <v>13</v>
      </c>
      <c r="AP131" s="54">
        <v>22</v>
      </c>
      <c r="AQ131" s="54">
        <v>35</v>
      </c>
      <c r="AR131" s="54">
        <v>88</v>
      </c>
      <c r="AS131" s="54">
        <v>36</v>
      </c>
      <c r="AT131" s="54">
        <v>90</v>
      </c>
      <c r="AU131" s="54">
        <v>70</v>
      </c>
      <c r="AV131" s="54">
        <v>88</v>
      </c>
      <c r="AW131" s="54">
        <v>74</v>
      </c>
      <c r="AX131" s="54">
        <v>93</v>
      </c>
      <c r="AY131" s="86">
        <f t="shared" si="18"/>
        <v>2.6507778202452612</v>
      </c>
      <c r="AZ131" s="31">
        <f t="shared" si="16"/>
        <v>2.5892045259294596</v>
      </c>
      <c r="BA131" s="54">
        <v>23</v>
      </c>
      <c r="BB131" s="54">
        <v>77</v>
      </c>
      <c r="BC131" s="54">
        <v>12</v>
      </c>
      <c r="BD131" s="54">
        <v>80</v>
      </c>
      <c r="BE131" s="54">
        <v>11</v>
      </c>
      <c r="BF131" s="54">
        <v>73</v>
      </c>
      <c r="BG131" s="54">
        <v>24</v>
      </c>
      <c r="BH131" s="54">
        <v>80</v>
      </c>
      <c r="BI131" s="54">
        <v>30</v>
      </c>
      <c r="BJ131" s="54">
        <v>100</v>
      </c>
      <c r="BK131" s="54">
        <v>47</v>
      </c>
      <c r="BL131" s="54">
        <v>73</v>
      </c>
      <c r="BM131" s="54">
        <v>142</v>
      </c>
      <c r="BN131" s="54">
        <v>76</v>
      </c>
      <c r="BO131" s="88">
        <f t="shared" si="19"/>
        <v>69.607843137254903</v>
      </c>
      <c r="BP131" s="54">
        <v>42</v>
      </c>
      <c r="BQ131" s="54">
        <v>81</v>
      </c>
      <c r="BR131" s="54" t="s">
        <v>133</v>
      </c>
      <c r="BS131" s="54">
        <v>3</v>
      </c>
      <c r="BT131" s="54">
        <v>38</v>
      </c>
      <c r="BU131" s="54">
        <v>95</v>
      </c>
      <c r="BV131" s="54">
        <v>2.15</v>
      </c>
      <c r="BW131" s="54">
        <v>37</v>
      </c>
      <c r="BX131" s="54">
        <v>93</v>
      </c>
      <c r="BY131" s="54">
        <v>3</v>
      </c>
      <c r="BZ131" s="54" t="s">
        <v>147</v>
      </c>
      <c r="CA131" s="54" t="s">
        <v>147</v>
      </c>
      <c r="CB131" s="156">
        <v>62</v>
      </c>
      <c r="CC131" s="156">
        <v>0.35399999999999998</v>
      </c>
      <c r="CD131" s="54">
        <v>95</v>
      </c>
      <c r="CE131" s="54">
        <v>96</v>
      </c>
      <c r="CF131" s="54">
        <v>99</v>
      </c>
      <c r="CG131" s="54">
        <v>70</v>
      </c>
      <c r="CH131" s="54" t="s">
        <v>181</v>
      </c>
      <c r="CI131" s="54" t="s">
        <v>162</v>
      </c>
      <c r="CJ131" s="54" t="s">
        <v>136</v>
      </c>
      <c r="CK131" s="157" t="s">
        <v>163</v>
      </c>
      <c r="CL131" s="54"/>
      <c r="CM131" s="54" t="s">
        <v>286</v>
      </c>
      <c r="CN131" s="54" t="s">
        <v>136</v>
      </c>
      <c r="CO131" s="54" t="s">
        <v>136</v>
      </c>
      <c r="CP131" s="157" t="s">
        <v>163</v>
      </c>
      <c r="CQ131" s="157"/>
      <c r="CR131" s="54"/>
      <c r="CS131" s="92"/>
      <c r="CT131" s="92"/>
      <c r="CU131" s="54"/>
      <c r="CV131" s="54"/>
      <c r="CW131" s="54"/>
      <c r="CX131" s="54"/>
      <c r="CY131" s="54"/>
      <c r="CZ131" s="54"/>
      <c r="DA131" s="54"/>
      <c r="DB131" s="54"/>
      <c r="DC131" s="54"/>
      <c r="DD131" s="54"/>
      <c r="DE131" s="54"/>
      <c r="DF131" s="54"/>
      <c r="DG131" s="54"/>
      <c r="DH131" s="54"/>
      <c r="DI131" s="54"/>
      <c r="DK131" s="54"/>
      <c r="DL131" s="54"/>
      <c r="DM131" s="54"/>
      <c r="DN131" s="54"/>
      <c r="DO131" s="54"/>
      <c r="DP131" s="54"/>
      <c r="DQ131" s="54"/>
      <c r="DR131" s="54"/>
      <c r="DS131" s="54"/>
      <c r="DT131" s="54"/>
      <c r="DU131" s="54"/>
      <c r="DV131" s="54"/>
      <c r="DW131" s="54"/>
      <c r="DX131" s="54"/>
      <c r="DY131" s="54"/>
      <c r="DZ131" s="54"/>
      <c r="EA131" s="54"/>
      <c r="EB131" s="54"/>
      <c r="EC131" s="54"/>
      <c r="ED131" s="54"/>
      <c r="EE131" s="54"/>
      <c r="EF131" s="54"/>
      <c r="EG131" s="54"/>
      <c r="EH131" s="54"/>
      <c r="EI131" s="54"/>
      <c r="EJ131" s="54"/>
      <c r="EK131" s="54"/>
      <c r="EL131" s="54"/>
      <c r="EM131" s="54"/>
      <c r="EN131" s="54"/>
      <c r="EO131" s="54"/>
      <c r="EP131" s="54"/>
      <c r="EQ131" s="54"/>
      <c r="ER131" s="54"/>
      <c r="ES131" s="54"/>
      <c r="ET131" s="54"/>
      <c r="EU131" s="54"/>
      <c r="EV131" s="54"/>
      <c r="EW131" s="54"/>
      <c r="EX131" s="54"/>
      <c r="EY131" s="54"/>
      <c r="EZ131" s="54"/>
      <c r="FA131" s="54"/>
      <c r="FB131" s="54"/>
      <c r="FC131" s="54"/>
      <c r="FD131" s="54"/>
      <c r="FE131" s="54"/>
      <c r="FF131" s="54"/>
      <c r="FG131" s="54"/>
      <c r="FH131" s="54"/>
      <c r="FI131" s="54"/>
      <c r="FJ131" s="54"/>
      <c r="FK131" s="54"/>
      <c r="FL131" s="54"/>
      <c r="FM131" s="54"/>
      <c r="FN131" s="54"/>
      <c r="FO131" s="54"/>
      <c r="FP131" s="54"/>
      <c r="FQ131" s="54"/>
      <c r="FR131" s="54"/>
      <c r="FS131" s="54"/>
      <c r="FT131" s="54"/>
      <c r="FU131" s="54"/>
      <c r="FV131" s="54"/>
      <c r="FW131" s="54"/>
      <c r="FX131" s="54"/>
      <c r="FY131" s="54"/>
      <c r="FZ131" s="54"/>
      <c r="GA131" s="54"/>
      <c r="GB131" s="54"/>
      <c r="GC131" s="54"/>
      <c r="GD131" s="54"/>
      <c r="GE131" s="54"/>
      <c r="GF131" s="54"/>
      <c r="GG131" s="54"/>
      <c r="GH131" s="54"/>
      <c r="GI131" s="54"/>
      <c r="GJ131" s="54"/>
    </row>
    <row r="132" spans="1:192" ht="60">
      <c r="A132" s="190">
        <v>20102</v>
      </c>
      <c r="B132" s="23" t="s">
        <v>166</v>
      </c>
      <c r="C132" s="3">
        <v>93.5</v>
      </c>
      <c r="D132" s="3">
        <v>10</v>
      </c>
      <c r="E132" s="3">
        <v>9</v>
      </c>
      <c r="F132" s="3">
        <v>19</v>
      </c>
      <c r="G132" s="3">
        <v>9.9499999999999993</v>
      </c>
      <c r="H132" s="3">
        <v>9.1</v>
      </c>
      <c r="I132" s="35">
        <v>8.6999999999999993</v>
      </c>
      <c r="J132" s="3" t="s">
        <v>128</v>
      </c>
      <c r="K132" s="27">
        <v>2.6509999999999999E-2</v>
      </c>
      <c r="L132" s="27">
        <v>2.511E-2</v>
      </c>
      <c r="M132" s="27">
        <v>2.4E-2</v>
      </c>
      <c r="N132" s="27">
        <v>2.6509999999999999E-2</v>
      </c>
      <c r="O132" s="27">
        <v>2.511E-2</v>
      </c>
      <c r="P132" s="27">
        <v>2.4E-2</v>
      </c>
      <c r="Q132" s="27">
        <v>0.879</v>
      </c>
      <c r="R132" s="27">
        <v>1.7000000000000001E-2</v>
      </c>
      <c r="S132" s="27">
        <v>0</v>
      </c>
      <c r="T132" s="27">
        <v>3.5000000000000003E-2</v>
      </c>
      <c r="U132" s="27">
        <v>5.8000000000000003E-2</v>
      </c>
      <c r="V132" s="27">
        <v>1.2E-2</v>
      </c>
      <c r="W132" s="52">
        <v>87</v>
      </c>
      <c r="X132" s="27">
        <v>0.86899999999999999</v>
      </c>
      <c r="Y132" s="52">
        <v>152</v>
      </c>
      <c r="Z132" s="27">
        <v>1.7000000000000001E-2</v>
      </c>
      <c r="AA132" s="27">
        <v>0</v>
      </c>
      <c r="AB132" s="27">
        <v>3.4000000000000002E-2</v>
      </c>
      <c r="AC132" s="27">
        <v>5.7000000000000002E-2</v>
      </c>
      <c r="AD132" s="27">
        <f t="shared" si="17"/>
        <v>5.7000000000000002E-2</v>
      </c>
      <c r="AE132" s="27">
        <v>1.0999999999999999E-2</v>
      </c>
      <c r="AF132" s="3" t="s">
        <v>155</v>
      </c>
      <c r="AG132" s="3" t="s">
        <v>156</v>
      </c>
      <c r="AH132" s="3" t="s">
        <v>157</v>
      </c>
      <c r="AI132" s="3">
        <v>12</v>
      </c>
      <c r="AJ132" s="3">
        <v>68</v>
      </c>
      <c r="AK132" s="3">
        <v>3</v>
      </c>
      <c r="AL132" s="3" t="s">
        <v>158</v>
      </c>
      <c r="AM132" s="3">
        <v>164</v>
      </c>
      <c r="AN132" s="3">
        <v>94</v>
      </c>
      <c r="AO132" s="3">
        <v>40</v>
      </c>
      <c r="AP132" s="3">
        <v>60</v>
      </c>
      <c r="AQ132" s="3">
        <v>36</v>
      </c>
      <c r="AR132" s="3">
        <v>90</v>
      </c>
      <c r="AS132" s="3">
        <v>35</v>
      </c>
      <c r="AT132" s="3">
        <v>88</v>
      </c>
      <c r="AU132" s="3">
        <v>72</v>
      </c>
      <c r="AV132" s="3">
        <v>90</v>
      </c>
      <c r="AW132" s="3">
        <v>67</v>
      </c>
      <c r="AX132" s="3">
        <v>84</v>
      </c>
      <c r="AY132" s="30">
        <f t="shared" si="18"/>
        <v>2.2760094487543503</v>
      </c>
      <c r="AZ132" s="31">
        <f t="shared" si="16"/>
        <v>2.2312566930418987</v>
      </c>
      <c r="BA132" s="3">
        <v>27</v>
      </c>
      <c r="BB132" s="3">
        <v>90</v>
      </c>
      <c r="BC132" s="3">
        <v>14</v>
      </c>
      <c r="BD132" s="3">
        <v>93</v>
      </c>
      <c r="BE132" s="3">
        <v>13</v>
      </c>
      <c r="BF132" s="3">
        <v>87</v>
      </c>
      <c r="BG132" s="3">
        <v>27</v>
      </c>
      <c r="BH132" s="3">
        <v>90</v>
      </c>
      <c r="BI132" s="3">
        <v>30</v>
      </c>
      <c r="BJ132" s="3">
        <v>100</v>
      </c>
      <c r="BK132" s="3">
        <v>48</v>
      </c>
      <c r="BL132" s="3">
        <v>75</v>
      </c>
      <c r="BM132" s="3">
        <v>145</v>
      </c>
      <c r="BN132" s="3">
        <v>76</v>
      </c>
      <c r="BO132" s="21">
        <f t="shared" si="19"/>
        <v>71.078431372549019</v>
      </c>
      <c r="BP132" s="3">
        <v>46</v>
      </c>
      <c r="BQ132" s="3">
        <v>88</v>
      </c>
      <c r="BR132" s="3" t="s">
        <v>133</v>
      </c>
      <c r="BS132" s="3">
        <v>4.4000000000000004</v>
      </c>
      <c r="BT132" s="3">
        <v>35</v>
      </c>
      <c r="BU132" s="3">
        <v>88</v>
      </c>
      <c r="BV132" s="3">
        <v>3.25</v>
      </c>
      <c r="BW132" s="3">
        <v>39</v>
      </c>
      <c r="BX132" s="3">
        <v>98</v>
      </c>
      <c r="BY132" s="3">
        <v>5</v>
      </c>
      <c r="BZ132" s="3" t="s">
        <v>147</v>
      </c>
      <c r="CA132" s="3" t="s">
        <v>147</v>
      </c>
      <c r="CB132" s="33">
        <v>0</v>
      </c>
      <c r="CC132" s="34">
        <v>0</v>
      </c>
      <c r="CD132" s="3">
        <v>98</v>
      </c>
      <c r="CE132" s="3">
        <v>99</v>
      </c>
      <c r="CF132" s="3">
        <v>99</v>
      </c>
      <c r="CG132" s="3">
        <v>80</v>
      </c>
      <c r="CH132" s="3" t="s">
        <v>160</v>
      </c>
      <c r="CI132" s="3" t="s">
        <v>162</v>
      </c>
      <c r="CJ132" s="3" t="s">
        <v>162</v>
      </c>
      <c r="CK132" s="49" t="s">
        <v>163</v>
      </c>
      <c r="CM132" s="3" t="s">
        <v>284</v>
      </c>
      <c r="CN132" s="3" t="s">
        <v>136</v>
      </c>
      <c r="CO132" s="3" t="s">
        <v>162</v>
      </c>
      <c r="CP132" s="49" t="s">
        <v>163</v>
      </c>
      <c r="CQ132" s="49"/>
      <c r="CS132" s="1" t="s">
        <v>138</v>
      </c>
      <c r="CT132" s="1" t="s">
        <v>138</v>
      </c>
      <c r="CU132" s="1" t="s">
        <v>138</v>
      </c>
      <c r="CV132" s="1" t="s">
        <v>138</v>
      </c>
      <c r="CW132" s="1" t="s">
        <v>138</v>
      </c>
    </row>
    <row r="133" spans="1:192" ht="60">
      <c r="A133" s="190">
        <v>20103</v>
      </c>
      <c r="B133" s="51" t="s">
        <v>220</v>
      </c>
      <c r="C133" s="3">
        <v>83.6</v>
      </c>
      <c r="D133" s="3">
        <v>9</v>
      </c>
      <c r="E133" s="3">
        <v>8</v>
      </c>
      <c r="F133" s="3">
        <v>17</v>
      </c>
      <c r="G133" s="3">
        <v>8.3000000000000007</v>
      </c>
      <c r="H133" s="3">
        <v>6.9</v>
      </c>
      <c r="I133" s="35">
        <v>9.6</v>
      </c>
      <c r="J133" s="3" t="s">
        <v>279</v>
      </c>
      <c r="K133" s="27">
        <v>2.4969999999999999E-2</v>
      </c>
      <c r="L133" s="27">
        <v>1.7979999999999999E-2</v>
      </c>
      <c r="M133" s="27">
        <v>3.4689999999999999E-2</v>
      </c>
      <c r="N133" s="27">
        <v>2.4969999999999999E-2</v>
      </c>
      <c r="O133" s="27">
        <v>1.7979999999999999E-2</v>
      </c>
      <c r="P133" s="27">
        <v>3.4689999999999999E-2</v>
      </c>
      <c r="Q133" s="27">
        <v>0.74299999999999999</v>
      </c>
      <c r="R133" s="27">
        <v>1.2E-2</v>
      </c>
      <c r="S133" s="27">
        <v>9.4E-2</v>
      </c>
      <c r="T133" s="27">
        <v>1.7999999999999999E-2</v>
      </c>
      <c r="U133" s="27">
        <v>0.13500000000000001</v>
      </c>
      <c r="V133" s="27">
        <v>0</v>
      </c>
      <c r="W133" s="52">
        <v>73</v>
      </c>
      <c r="X133" s="27">
        <v>0.72599999999999998</v>
      </c>
      <c r="Y133" s="52">
        <v>127</v>
      </c>
      <c r="Z133" s="27">
        <v>1.0999999999999999E-2</v>
      </c>
      <c r="AA133" s="27">
        <v>9.0999999999999998E-2</v>
      </c>
      <c r="AB133" s="27">
        <v>1.7000000000000001E-2</v>
      </c>
      <c r="AC133" s="27">
        <v>0.13100000000000001</v>
      </c>
      <c r="AD133" s="27">
        <f t="shared" si="17"/>
        <v>0.222</v>
      </c>
      <c r="AE133" s="27">
        <v>0</v>
      </c>
      <c r="AF133" s="3" t="s">
        <v>155</v>
      </c>
      <c r="AG133" s="3" t="s">
        <v>156</v>
      </c>
      <c r="AH133" s="3" t="s">
        <v>157</v>
      </c>
      <c r="AI133" s="3">
        <v>18</v>
      </c>
      <c r="AJ133" s="3">
        <v>52</v>
      </c>
      <c r="AK133" s="3">
        <v>6</v>
      </c>
      <c r="AL133" s="3" t="s">
        <v>158</v>
      </c>
      <c r="AM133" s="3">
        <v>159</v>
      </c>
      <c r="AN133" s="3">
        <v>91</v>
      </c>
      <c r="AO133" s="3">
        <v>25</v>
      </c>
      <c r="AP133" s="3">
        <v>42</v>
      </c>
      <c r="AQ133" s="3">
        <v>37</v>
      </c>
      <c r="AR133" s="3">
        <v>93</v>
      </c>
      <c r="AS133" s="3">
        <v>35</v>
      </c>
      <c r="AT133" s="3">
        <v>88</v>
      </c>
      <c r="AU133" s="3">
        <v>57</v>
      </c>
      <c r="AV133" s="3">
        <v>71</v>
      </c>
      <c r="AW133" s="3">
        <v>77</v>
      </c>
      <c r="AX133" s="3">
        <v>96</v>
      </c>
      <c r="AY133" s="30">
        <f t="shared" si="18"/>
        <v>2.3040707908078422</v>
      </c>
      <c r="AZ133" s="31">
        <f t="shared" ref="AZ133:AZ168" si="20">NORMSINV((AV133*(80/100)+0.5)/81)-NORMSINV(1-(AX133*(80/100)+0.5)/81)</f>
        <v>2.2341037562768489</v>
      </c>
      <c r="BA133" s="3">
        <v>29</v>
      </c>
      <c r="BB133" s="3">
        <v>97</v>
      </c>
      <c r="BC133" s="3">
        <v>15</v>
      </c>
      <c r="BD133" s="3">
        <v>100</v>
      </c>
      <c r="BE133" s="3">
        <v>14</v>
      </c>
      <c r="BF133" s="3">
        <v>93.3</v>
      </c>
      <c r="BG133" s="3">
        <v>23</v>
      </c>
      <c r="BH133" s="3">
        <v>77</v>
      </c>
      <c r="BI133" s="3">
        <v>26</v>
      </c>
      <c r="BJ133" s="3">
        <v>87</v>
      </c>
      <c r="BK133" s="3">
        <v>55</v>
      </c>
      <c r="BL133" s="3">
        <v>86</v>
      </c>
      <c r="BM133" s="3">
        <v>168</v>
      </c>
      <c r="BN133" s="3">
        <v>83</v>
      </c>
      <c r="BO133" s="21">
        <f t="shared" si="19"/>
        <v>82.35294117647058</v>
      </c>
      <c r="BP133" s="3">
        <v>49</v>
      </c>
      <c r="BQ133" s="3">
        <v>94</v>
      </c>
      <c r="BR133" s="3" t="s">
        <v>133</v>
      </c>
      <c r="BS133" s="3">
        <v>2</v>
      </c>
      <c r="BT133" s="3">
        <v>30</v>
      </c>
      <c r="BU133" s="3">
        <v>75</v>
      </c>
      <c r="BV133" s="3">
        <v>0.5</v>
      </c>
      <c r="BW133" s="3">
        <v>39</v>
      </c>
      <c r="BX133" s="3">
        <v>98</v>
      </c>
      <c r="BY133" s="3">
        <v>3</v>
      </c>
      <c r="BZ133" s="3" t="s">
        <v>147</v>
      </c>
      <c r="CA133" s="3" t="s">
        <v>147</v>
      </c>
      <c r="CB133" s="33">
        <v>18</v>
      </c>
      <c r="CC133" s="34">
        <v>0.10285714285714286</v>
      </c>
      <c r="CD133" s="3">
        <v>93</v>
      </c>
      <c r="CE133" s="3">
        <v>96</v>
      </c>
      <c r="CF133" s="3">
        <v>94</v>
      </c>
      <c r="CG133" s="3">
        <v>100</v>
      </c>
      <c r="CH133" s="3" t="s">
        <v>160</v>
      </c>
      <c r="CI133" s="3" t="s">
        <v>162</v>
      </c>
      <c r="CJ133" s="3" t="s">
        <v>162</v>
      </c>
      <c r="CK133" s="49" t="s">
        <v>163</v>
      </c>
      <c r="CM133" s="3" t="s">
        <v>178</v>
      </c>
      <c r="CN133" s="3" t="s">
        <v>136</v>
      </c>
      <c r="CO133" s="3" t="s">
        <v>136</v>
      </c>
      <c r="CP133" s="49" t="s">
        <v>163</v>
      </c>
      <c r="CQ133" s="49"/>
      <c r="CR133" s="1" t="s">
        <v>287</v>
      </c>
      <c r="CS133" s="1" t="s">
        <v>138</v>
      </c>
      <c r="CT133" s="1" t="s">
        <v>138</v>
      </c>
      <c r="CU133" s="1" t="s">
        <v>138</v>
      </c>
      <c r="CV133" s="1" t="s">
        <v>138</v>
      </c>
      <c r="CW133" s="1" t="s">
        <v>138</v>
      </c>
    </row>
    <row r="134" spans="1:192" ht="60">
      <c r="A134" s="190">
        <v>20104</v>
      </c>
      <c r="B134" s="51" t="s">
        <v>240</v>
      </c>
      <c r="C134" s="3">
        <v>44.9</v>
      </c>
      <c r="D134" s="3">
        <v>5</v>
      </c>
      <c r="E134" s="3">
        <v>8</v>
      </c>
      <c r="F134" s="3">
        <v>13</v>
      </c>
      <c r="G134" s="3">
        <v>5.75</v>
      </c>
      <c r="H134" s="3">
        <v>1.8</v>
      </c>
      <c r="I134" s="35">
        <v>1.9</v>
      </c>
      <c r="J134" s="3" t="s">
        <v>288</v>
      </c>
      <c r="K134" s="27">
        <v>1.0919999999999999E-2</v>
      </c>
      <c r="L134" s="27">
        <v>1.048E-2</v>
      </c>
      <c r="M134" s="27">
        <v>1.908E-2</v>
      </c>
      <c r="N134" s="27">
        <v>1.0919999999999999E-2</v>
      </c>
      <c r="O134" s="27">
        <v>1.048E-2</v>
      </c>
      <c r="P134" s="27">
        <v>1.908E-2</v>
      </c>
      <c r="Q134" s="27">
        <v>0.217</v>
      </c>
      <c r="R134" s="27">
        <v>3.1E-2</v>
      </c>
      <c r="S134" s="27">
        <v>0.14000000000000001</v>
      </c>
      <c r="T134" s="27">
        <v>1.6E-2</v>
      </c>
      <c r="U134" s="27">
        <v>0.48799999999999999</v>
      </c>
      <c r="V134" s="27">
        <v>0.109</v>
      </c>
      <c r="W134" s="52">
        <v>16</v>
      </c>
      <c r="X134" s="27">
        <v>0.16</v>
      </c>
      <c r="Y134" s="52">
        <v>28</v>
      </c>
      <c r="Z134" s="27">
        <v>2.3E-2</v>
      </c>
      <c r="AA134" s="27">
        <v>0.10299999999999999</v>
      </c>
      <c r="AB134" s="27">
        <v>1.0999999999999999E-2</v>
      </c>
      <c r="AC134" s="27">
        <v>0.36</v>
      </c>
      <c r="AD134" s="27">
        <f t="shared" si="17"/>
        <v>0.46299999999999997</v>
      </c>
      <c r="AE134" s="27">
        <v>0.08</v>
      </c>
      <c r="AF134" s="3" t="s">
        <v>172</v>
      </c>
      <c r="AG134" s="3" t="s">
        <v>130</v>
      </c>
      <c r="AH134" s="3" t="s">
        <v>177</v>
      </c>
      <c r="AI134" s="3">
        <v>12</v>
      </c>
      <c r="AJ134" s="3">
        <v>53</v>
      </c>
      <c r="AK134" s="3">
        <v>35</v>
      </c>
      <c r="AL134" s="3" t="s">
        <v>158</v>
      </c>
      <c r="AM134" s="3">
        <v>73</v>
      </c>
      <c r="AN134" s="3">
        <v>42</v>
      </c>
      <c r="AO134" s="3">
        <v>10</v>
      </c>
      <c r="AP134" s="3">
        <v>17</v>
      </c>
      <c r="AQ134" s="3">
        <v>37</v>
      </c>
      <c r="AR134" s="3">
        <v>93</v>
      </c>
      <c r="AS134" s="3">
        <v>26</v>
      </c>
      <c r="AT134" s="3">
        <v>65</v>
      </c>
      <c r="AU134" s="3">
        <v>77</v>
      </c>
      <c r="AV134" s="3">
        <v>96</v>
      </c>
      <c r="AW134" s="3">
        <v>49</v>
      </c>
      <c r="AX134" s="3">
        <v>61</v>
      </c>
      <c r="AY134" s="30">
        <f t="shared" si="18"/>
        <v>2.0300051056996238</v>
      </c>
      <c r="AZ134" s="31">
        <f t="shared" si="20"/>
        <v>1.9640585240997077</v>
      </c>
      <c r="BA134" s="3">
        <v>16</v>
      </c>
      <c r="BB134" s="3">
        <v>53</v>
      </c>
      <c r="BC134" s="3">
        <v>9</v>
      </c>
      <c r="BD134" s="3">
        <v>60</v>
      </c>
      <c r="BE134" s="3">
        <v>7</v>
      </c>
      <c r="BF134" s="3">
        <v>47</v>
      </c>
      <c r="BG134" s="3">
        <v>13</v>
      </c>
      <c r="BH134" s="3">
        <v>43</v>
      </c>
      <c r="BI134" s="3">
        <v>25</v>
      </c>
      <c r="BJ134" s="3">
        <v>83</v>
      </c>
      <c r="BK134" s="3">
        <v>41</v>
      </c>
      <c r="BL134" s="3">
        <v>64</v>
      </c>
      <c r="BM134" s="3">
        <v>134</v>
      </c>
      <c r="BN134" s="3">
        <v>70</v>
      </c>
      <c r="BO134" s="21">
        <f t="shared" si="19"/>
        <v>65.686274509803923</v>
      </c>
      <c r="BP134" s="3">
        <v>47</v>
      </c>
      <c r="BQ134" s="3">
        <v>90</v>
      </c>
      <c r="BR134" s="3" t="s">
        <v>133</v>
      </c>
      <c r="BS134" s="3">
        <v>1</v>
      </c>
      <c r="BT134" s="3">
        <v>37</v>
      </c>
      <c r="BU134" s="3">
        <v>93</v>
      </c>
      <c r="BV134" s="3">
        <v>1.64</v>
      </c>
      <c r="BW134" s="3">
        <v>22</v>
      </c>
      <c r="BX134" s="3">
        <v>55</v>
      </c>
      <c r="BY134" s="3">
        <v>0.5</v>
      </c>
      <c r="BZ134" s="3" t="s">
        <v>147</v>
      </c>
      <c r="CA134" s="3" t="s">
        <v>147</v>
      </c>
      <c r="CB134" s="33">
        <v>29</v>
      </c>
      <c r="CC134" s="34">
        <v>0.1657142857142857</v>
      </c>
      <c r="CD134" s="3">
        <v>72</v>
      </c>
      <c r="CE134" s="3">
        <v>75</v>
      </c>
      <c r="CF134" s="3">
        <v>85</v>
      </c>
      <c r="CG134" s="3">
        <v>100</v>
      </c>
      <c r="CH134" s="3" t="s">
        <v>160</v>
      </c>
      <c r="CI134" s="3" t="s">
        <v>162</v>
      </c>
      <c r="CJ134" s="3" t="s">
        <v>188</v>
      </c>
      <c r="CK134" s="3" t="s">
        <v>188</v>
      </c>
      <c r="CL134" s="3" t="s">
        <v>289</v>
      </c>
      <c r="CM134" s="3" t="s">
        <v>290</v>
      </c>
      <c r="CN134" s="3" t="s">
        <v>188</v>
      </c>
      <c r="CO134" s="3" t="s">
        <v>188</v>
      </c>
      <c r="CP134" s="3" t="s">
        <v>188</v>
      </c>
      <c r="CS134" s="1" t="s">
        <v>138</v>
      </c>
      <c r="CT134" s="1" t="s">
        <v>138</v>
      </c>
      <c r="CU134" s="1" t="s">
        <v>138</v>
      </c>
      <c r="CV134" s="1" t="s">
        <v>138</v>
      </c>
      <c r="CW134" s="1" t="s">
        <v>138</v>
      </c>
    </row>
    <row r="135" spans="1:192" ht="60">
      <c r="A135" s="190">
        <v>20105</v>
      </c>
      <c r="B135" s="23" t="s">
        <v>127</v>
      </c>
      <c r="C135" s="3">
        <v>75.5</v>
      </c>
      <c r="D135" s="3">
        <v>8</v>
      </c>
      <c r="E135" s="3">
        <v>5</v>
      </c>
      <c r="F135" s="3">
        <v>13</v>
      </c>
      <c r="G135" s="3">
        <v>8.65</v>
      </c>
      <c r="H135" s="3">
        <v>9.1999999999999993</v>
      </c>
      <c r="I135" s="35">
        <v>6.8</v>
      </c>
      <c r="J135" s="3" t="s">
        <v>280</v>
      </c>
      <c r="K135" s="27">
        <v>1.7000000000000001E-2</v>
      </c>
      <c r="L135" s="27">
        <v>2.8129999999999999E-2</v>
      </c>
      <c r="M135" s="27">
        <v>3.5189999999999999E-2</v>
      </c>
      <c r="N135" s="27">
        <v>1.7000000000000001E-2</v>
      </c>
      <c r="O135" s="27">
        <v>2.8129999999999999E-2</v>
      </c>
      <c r="P135" s="27">
        <v>3.5189999999999999E-2</v>
      </c>
      <c r="Q135" s="27">
        <v>0.66200000000000003</v>
      </c>
      <c r="R135" s="27">
        <v>0.108</v>
      </c>
      <c r="S135" s="27">
        <v>4.4999999999999998E-2</v>
      </c>
      <c r="T135" s="27">
        <v>9.6000000000000002E-2</v>
      </c>
      <c r="U135" s="27">
        <v>4.4999999999999998E-2</v>
      </c>
      <c r="V135" s="27">
        <v>4.4999999999999998E-2</v>
      </c>
      <c r="W135" s="52">
        <v>59</v>
      </c>
      <c r="X135" s="27">
        <v>0.59399999999999997</v>
      </c>
      <c r="Y135" s="52">
        <v>104</v>
      </c>
      <c r="Z135" s="27">
        <v>9.7000000000000003E-2</v>
      </c>
      <c r="AA135" s="27">
        <v>0.04</v>
      </c>
      <c r="AB135" s="27">
        <v>8.5999999999999993E-2</v>
      </c>
      <c r="AC135" s="27">
        <v>0.04</v>
      </c>
      <c r="AD135" s="27">
        <f t="shared" si="17"/>
        <v>0.08</v>
      </c>
      <c r="AE135" s="27">
        <v>0.04</v>
      </c>
      <c r="AF135" s="3" t="s">
        <v>172</v>
      </c>
      <c r="AG135" s="3" t="s">
        <v>130</v>
      </c>
      <c r="AH135" s="3" t="s">
        <v>131</v>
      </c>
      <c r="AI135" s="3">
        <v>16</v>
      </c>
      <c r="AJ135" s="3">
        <v>54</v>
      </c>
      <c r="AK135" s="3">
        <v>4</v>
      </c>
      <c r="AL135" s="3" t="s">
        <v>158</v>
      </c>
      <c r="AM135" s="3">
        <v>168</v>
      </c>
      <c r="AN135" s="3">
        <v>96</v>
      </c>
      <c r="AO135" s="3">
        <v>42</v>
      </c>
      <c r="AP135" s="3">
        <v>70</v>
      </c>
      <c r="AQ135" s="3">
        <v>36</v>
      </c>
      <c r="AR135" s="3">
        <v>90</v>
      </c>
      <c r="AS135" s="3">
        <v>37</v>
      </c>
      <c r="AT135" s="3">
        <v>93</v>
      </c>
      <c r="AU135" s="3">
        <v>67</v>
      </c>
      <c r="AV135" s="3">
        <v>84</v>
      </c>
      <c r="AW135" s="3">
        <v>75</v>
      </c>
      <c r="AX135" s="3">
        <v>94</v>
      </c>
      <c r="AY135" s="30">
        <f t="shared" si="18"/>
        <v>2.5492314778066025</v>
      </c>
      <c r="AZ135" s="31">
        <f t="shared" si="20"/>
        <v>2.4880544742973871</v>
      </c>
      <c r="BA135" s="3">
        <v>20</v>
      </c>
      <c r="BB135" s="3">
        <v>67</v>
      </c>
      <c r="BC135" s="3">
        <v>10</v>
      </c>
      <c r="BD135" s="3">
        <v>67</v>
      </c>
      <c r="BE135" s="3">
        <v>10</v>
      </c>
      <c r="BF135" s="3">
        <v>67</v>
      </c>
      <c r="BG135" s="3">
        <v>22</v>
      </c>
      <c r="BH135" s="3">
        <v>73</v>
      </c>
      <c r="BI135" s="3">
        <v>26</v>
      </c>
      <c r="BJ135" s="3">
        <v>87</v>
      </c>
      <c r="BK135" s="3">
        <v>20</v>
      </c>
      <c r="BL135" s="3">
        <v>31</v>
      </c>
      <c r="BM135" s="3">
        <v>107</v>
      </c>
      <c r="BN135" s="3">
        <v>46</v>
      </c>
      <c r="BO135" s="21">
        <f t="shared" si="19"/>
        <v>52.450980392156865</v>
      </c>
      <c r="BP135" s="3">
        <v>44</v>
      </c>
      <c r="BQ135" s="3">
        <v>85</v>
      </c>
      <c r="BR135" s="3" t="s">
        <v>133</v>
      </c>
      <c r="BS135" s="3">
        <v>4.8</v>
      </c>
      <c r="BT135" s="3">
        <v>28</v>
      </c>
      <c r="BU135" s="3">
        <v>70</v>
      </c>
      <c r="BV135" s="3">
        <v>0.5</v>
      </c>
      <c r="BW135" s="3">
        <v>39</v>
      </c>
      <c r="BX135" s="3">
        <v>98</v>
      </c>
      <c r="BY135" s="3">
        <v>6.27</v>
      </c>
      <c r="BZ135" s="3" t="s">
        <v>147</v>
      </c>
      <c r="CA135" s="3" t="s">
        <v>147</v>
      </c>
      <c r="CB135" s="33">
        <v>7</v>
      </c>
      <c r="CC135" s="34">
        <v>0.04</v>
      </c>
      <c r="CD135" s="3">
        <v>90</v>
      </c>
      <c r="CE135" s="3">
        <v>90</v>
      </c>
      <c r="CF135" s="3">
        <v>100</v>
      </c>
      <c r="CG135" s="3">
        <v>100</v>
      </c>
      <c r="CH135" s="3" t="s">
        <v>160</v>
      </c>
      <c r="CI135" s="3" t="s">
        <v>162</v>
      </c>
      <c r="CJ135" s="3" t="s">
        <v>162</v>
      </c>
      <c r="CK135" s="49" t="s">
        <v>163</v>
      </c>
      <c r="CM135" s="3" t="s">
        <v>178</v>
      </c>
      <c r="CN135" s="3" t="s">
        <v>136</v>
      </c>
      <c r="CO135" s="3" t="s">
        <v>136</v>
      </c>
      <c r="CP135" s="49" t="s">
        <v>163</v>
      </c>
      <c r="CQ135" s="49"/>
      <c r="CS135" s="1" t="s">
        <v>138</v>
      </c>
      <c r="CT135" s="1" t="s">
        <v>138</v>
      </c>
      <c r="CU135" s="1" t="s">
        <v>138</v>
      </c>
      <c r="CV135" s="1" t="s">
        <v>138</v>
      </c>
      <c r="CW135" s="1" t="s">
        <v>138</v>
      </c>
    </row>
    <row r="136" spans="1:192" ht="45">
      <c r="A136" s="190">
        <v>20106</v>
      </c>
      <c r="B136" s="72" t="s">
        <v>150</v>
      </c>
      <c r="C136" s="3">
        <v>96</v>
      </c>
      <c r="D136" s="3">
        <v>10</v>
      </c>
      <c r="E136" s="3">
        <v>9</v>
      </c>
      <c r="F136" s="3">
        <v>19</v>
      </c>
      <c r="G136" s="3">
        <v>10</v>
      </c>
      <c r="H136" s="3">
        <v>10</v>
      </c>
      <c r="I136" s="35">
        <v>9</v>
      </c>
      <c r="J136" s="3" t="s">
        <v>252</v>
      </c>
      <c r="K136" s="27">
        <v>9.2329999999999995E-2</v>
      </c>
      <c r="L136" s="27">
        <v>1.09E-2</v>
      </c>
      <c r="M136" s="27">
        <v>5.6600000000000001E-3</v>
      </c>
      <c r="N136" s="74">
        <v>3.5000000000000003E-2</v>
      </c>
      <c r="O136" s="74">
        <v>2.5000000000000001E-2</v>
      </c>
      <c r="P136" s="74">
        <v>5.0000000000000001E-3</v>
      </c>
      <c r="Q136" s="27">
        <v>0.92100000000000004</v>
      </c>
      <c r="R136" s="27">
        <v>2.5999999999999999E-2</v>
      </c>
      <c r="S136" s="27">
        <v>0</v>
      </c>
      <c r="T136" s="27">
        <v>0.02</v>
      </c>
      <c r="U136" s="27">
        <v>3.3000000000000002E-2</v>
      </c>
      <c r="V136" s="27">
        <v>0</v>
      </c>
      <c r="W136" s="52">
        <v>79</v>
      </c>
      <c r="X136" s="27">
        <v>0.79400000000000004</v>
      </c>
      <c r="Y136" s="52">
        <v>139</v>
      </c>
      <c r="Z136" s="27">
        <v>2.3E-2</v>
      </c>
      <c r="AA136" s="27">
        <v>0</v>
      </c>
      <c r="AB136" s="27">
        <v>1.7000000000000001E-2</v>
      </c>
      <c r="AC136" s="27">
        <v>2.9000000000000001E-2</v>
      </c>
      <c r="AD136" s="27">
        <f t="shared" si="17"/>
        <v>2.9000000000000001E-2</v>
      </c>
      <c r="AE136" s="27">
        <v>0</v>
      </c>
      <c r="AF136" s="3" t="s">
        <v>155</v>
      </c>
      <c r="AG136" s="3" t="s">
        <v>156</v>
      </c>
      <c r="AH136" s="3" t="s">
        <v>177</v>
      </c>
      <c r="AI136" s="3">
        <v>12</v>
      </c>
      <c r="AJ136" s="3">
        <v>54</v>
      </c>
      <c r="AK136" s="3">
        <v>7</v>
      </c>
      <c r="AL136" s="3" t="s">
        <v>158</v>
      </c>
      <c r="AM136" s="3">
        <v>175</v>
      </c>
      <c r="AN136" s="3">
        <v>100</v>
      </c>
      <c r="AO136" s="3">
        <v>48</v>
      </c>
      <c r="AP136" s="3">
        <v>80</v>
      </c>
      <c r="AQ136" s="3">
        <v>38</v>
      </c>
      <c r="AR136" s="3">
        <v>95</v>
      </c>
      <c r="AS136" s="3">
        <v>38</v>
      </c>
      <c r="AT136" s="3">
        <v>95</v>
      </c>
      <c r="AU136" s="3">
        <v>72</v>
      </c>
      <c r="AV136" s="3">
        <v>90</v>
      </c>
      <c r="AW136" s="3">
        <v>78</v>
      </c>
      <c r="AX136" s="3">
        <v>98</v>
      </c>
      <c r="AY136" s="30">
        <f t="shared" si="18"/>
        <v>3.3353004761764229</v>
      </c>
      <c r="AZ136" s="31">
        <f t="shared" si="20"/>
        <v>3.198266660902513</v>
      </c>
      <c r="BA136" s="3">
        <v>28</v>
      </c>
      <c r="BB136" s="3">
        <v>93</v>
      </c>
      <c r="BC136" s="3">
        <v>14</v>
      </c>
      <c r="BD136" s="3">
        <v>93</v>
      </c>
      <c r="BE136" s="3">
        <v>14</v>
      </c>
      <c r="BF136" s="3">
        <v>93</v>
      </c>
      <c r="BG136" s="3">
        <v>29</v>
      </c>
      <c r="BH136" s="3">
        <v>97</v>
      </c>
      <c r="BI136" s="3">
        <v>30</v>
      </c>
      <c r="BJ136" s="3">
        <v>100</v>
      </c>
      <c r="BK136" s="3">
        <v>51</v>
      </c>
      <c r="BL136" s="3">
        <v>80</v>
      </c>
      <c r="BM136" s="3">
        <v>167</v>
      </c>
      <c r="BN136" s="3">
        <v>83</v>
      </c>
      <c r="BO136" s="21">
        <f t="shared" si="19"/>
        <v>81.862745098039213</v>
      </c>
      <c r="BP136" s="3">
        <v>46</v>
      </c>
      <c r="BQ136" s="3">
        <v>88</v>
      </c>
      <c r="BR136" s="3" t="s">
        <v>230</v>
      </c>
      <c r="BS136" s="3">
        <v>5</v>
      </c>
      <c r="BT136" s="3">
        <v>35</v>
      </c>
      <c r="BU136" s="3">
        <v>88</v>
      </c>
      <c r="BV136" s="3">
        <v>4.3499999999999996</v>
      </c>
      <c r="BW136" s="3">
        <v>40</v>
      </c>
      <c r="BX136" s="3">
        <v>100</v>
      </c>
      <c r="BY136" s="3">
        <v>7.4</v>
      </c>
      <c r="BZ136" s="3" t="s">
        <v>147</v>
      </c>
      <c r="CA136" s="3" t="s">
        <v>147</v>
      </c>
      <c r="CB136" s="33">
        <v>0</v>
      </c>
      <c r="CC136" s="34">
        <v>0</v>
      </c>
      <c r="CD136" s="3">
        <v>93</v>
      </c>
      <c r="CE136" s="3">
        <v>93</v>
      </c>
      <c r="CF136" s="3">
        <v>99</v>
      </c>
      <c r="CG136" s="3">
        <v>100</v>
      </c>
      <c r="CH136" s="3" t="s">
        <v>283</v>
      </c>
      <c r="CI136" s="3" t="s">
        <v>161</v>
      </c>
      <c r="CJ136" s="3" t="s">
        <v>162</v>
      </c>
      <c r="CK136" s="49" t="s">
        <v>163</v>
      </c>
      <c r="CM136" s="3" t="s">
        <v>178</v>
      </c>
      <c r="CN136" s="3" t="s">
        <v>136</v>
      </c>
      <c r="CO136" s="3" t="s">
        <v>162</v>
      </c>
      <c r="CP136" s="49" t="s">
        <v>163</v>
      </c>
      <c r="CQ136" s="49"/>
      <c r="CS136" s="1" t="s">
        <v>255</v>
      </c>
      <c r="CT136" s="3" t="s">
        <v>230</v>
      </c>
      <c r="CU136" s="3">
        <v>100</v>
      </c>
      <c r="CV136" s="3">
        <v>92</v>
      </c>
      <c r="CW136" s="3">
        <v>100</v>
      </c>
    </row>
    <row r="137" spans="1:192" ht="15.75" customHeight="1">
      <c r="A137" s="190">
        <v>20107</v>
      </c>
      <c r="B137" s="23" t="s">
        <v>240</v>
      </c>
      <c r="C137" s="3">
        <v>59</v>
      </c>
      <c r="D137" s="3">
        <v>8</v>
      </c>
      <c r="E137" s="3">
        <v>2</v>
      </c>
      <c r="F137" s="3">
        <v>10</v>
      </c>
      <c r="G137" s="3">
        <v>6.6</v>
      </c>
      <c r="H137" s="3">
        <v>7.9</v>
      </c>
      <c r="I137" s="35">
        <v>5</v>
      </c>
      <c r="J137" s="3" t="s">
        <v>184</v>
      </c>
      <c r="K137" s="27">
        <v>5.7800000000000004E-3</v>
      </c>
      <c r="L137" s="27">
        <v>3.023E-2</v>
      </c>
      <c r="M137" s="27">
        <v>0.18540000000000001</v>
      </c>
      <c r="N137" s="27">
        <v>5.7800000000000004E-3</v>
      </c>
      <c r="O137" s="27">
        <v>3.023E-2</v>
      </c>
      <c r="P137" s="27">
        <v>0.18540000000000001</v>
      </c>
      <c r="Q137" s="27">
        <v>0.58499999999999996</v>
      </c>
      <c r="R137" s="27">
        <v>0.14599999999999999</v>
      </c>
      <c r="S137" s="27">
        <v>8.0000000000000002E-3</v>
      </c>
      <c r="T137" s="27">
        <v>5.3999999999999999E-2</v>
      </c>
      <c r="U137" s="27">
        <v>0.154</v>
      </c>
      <c r="V137" s="27">
        <v>5.3999999999999999E-2</v>
      </c>
      <c r="W137" s="52">
        <v>43</v>
      </c>
      <c r="X137" s="27">
        <v>0.434</v>
      </c>
      <c r="Y137" s="52">
        <v>76</v>
      </c>
      <c r="Z137" s="27">
        <v>0.109</v>
      </c>
      <c r="AA137" s="27">
        <v>6.0000000000000001E-3</v>
      </c>
      <c r="AB137" s="27">
        <v>0.04</v>
      </c>
      <c r="AC137" s="27">
        <v>0.114</v>
      </c>
      <c r="AD137" s="27">
        <f t="shared" si="17"/>
        <v>0.12000000000000001</v>
      </c>
      <c r="AE137" s="27">
        <v>0.04</v>
      </c>
      <c r="AF137" s="3" t="s">
        <v>155</v>
      </c>
      <c r="AG137" s="3" t="s">
        <v>156</v>
      </c>
      <c r="AH137" s="3" t="s">
        <v>253</v>
      </c>
      <c r="AI137" s="3">
        <v>12</v>
      </c>
      <c r="AJ137" s="3">
        <v>30</v>
      </c>
      <c r="AK137" s="3">
        <v>11</v>
      </c>
      <c r="AL137" s="3" t="s">
        <v>158</v>
      </c>
      <c r="AM137" s="3">
        <v>164</v>
      </c>
      <c r="AN137" s="3">
        <v>94</v>
      </c>
      <c r="AO137" s="3">
        <v>18</v>
      </c>
      <c r="AP137" s="3">
        <v>30</v>
      </c>
      <c r="AQ137" s="3">
        <v>36</v>
      </c>
      <c r="AR137" s="3">
        <v>90</v>
      </c>
      <c r="AS137" s="3">
        <v>29</v>
      </c>
      <c r="AT137" s="3">
        <v>73</v>
      </c>
      <c r="AU137" s="3">
        <v>67</v>
      </c>
      <c r="AV137" s="3">
        <v>84</v>
      </c>
      <c r="AW137" s="3">
        <v>65</v>
      </c>
      <c r="AX137" s="3">
        <v>81</v>
      </c>
      <c r="AY137" s="30">
        <f t="shared" si="18"/>
        <v>1.8723541782609783</v>
      </c>
      <c r="AZ137" s="31">
        <f t="shared" si="20"/>
        <v>1.8412307872661224</v>
      </c>
      <c r="BA137" s="3">
        <v>15</v>
      </c>
      <c r="BB137" s="3">
        <v>50</v>
      </c>
      <c r="BC137" s="3">
        <v>8</v>
      </c>
      <c r="BD137" s="3">
        <v>53</v>
      </c>
      <c r="BE137" s="3">
        <v>7</v>
      </c>
      <c r="BF137" s="3">
        <v>47</v>
      </c>
      <c r="BG137" s="3">
        <v>18</v>
      </c>
      <c r="BH137" s="3">
        <v>60</v>
      </c>
      <c r="BI137" s="3">
        <v>25</v>
      </c>
      <c r="BJ137" s="3">
        <v>83</v>
      </c>
      <c r="BK137" s="3">
        <v>35</v>
      </c>
      <c r="BL137" s="3">
        <v>55</v>
      </c>
      <c r="BM137" s="3">
        <v>113</v>
      </c>
      <c r="BN137" s="3">
        <v>57</v>
      </c>
      <c r="BO137" s="21">
        <f t="shared" si="19"/>
        <v>55.392156862745104</v>
      </c>
      <c r="BP137" s="3">
        <v>35</v>
      </c>
      <c r="BQ137" s="3">
        <v>67</v>
      </c>
      <c r="BR137" s="3" t="s">
        <v>185</v>
      </c>
      <c r="BS137" s="3">
        <v>3.2</v>
      </c>
      <c r="BT137" s="3">
        <v>23</v>
      </c>
      <c r="BU137" s="3">
        <v>58</v>
      </c>
      <c r="BV137" s="3">
        <v>0.5</v>
      </c>
      <c r="BW137" s="3">
        <v>36</v>
      </c>
      <c r="BX137" s="3">
        <v>90</v>
      </c>
      <c r="BY137" s="3">
        <v>2.37</v>
      </c>
      <c r="BZ137" s="3" t="s">
        <v>194</v>
      </c>
      <c r="CA137" s="3" t="s">
        <v>194</v>
      </c>
      <c r="CB137" s="103">
        <v>42</v>
      </c>
      <c r="CC137" s="103">
        <v>0.24</v>
      </c>
      <c r="CD137" s="3">
        <v>80</v>
      </c>
      <c r="CE137" s="3">
        <v>82</v>
      </c>
      <c r="CF137" s="3">
        <v>94</v>
      </c>
      <c r="CG137" s="3">
        <v>100</v>
      </c>
      <c r="CH137" s="3" t="s">
        <v>160</v>
      </c>
      <c r="CI137" s="3" t="s">
        <v>161</v>
      </c>
      <c r="CJ137" s="3" t="s">
        <v>162</v>
      </c>
      <c r="CK137" s="3" t="s">
        <v>161</v>
      </c>
      <c r="CM137" s="3" t="s">
        <v>178</v>
      </c>
      <c r="CN137" s="3" t="s">
        <v>136</v>
      </c>
      <c r="CO137" s="3" t="s">
        <v>162</v>
      </c>
      <c r="CP137" s="3" t="s">
        <v>136</v>
      </c>
      <c r="CQ137" s="3">
        <v>1</v>
      </c>
      <c r="CS137" t="s">
        <v>160</v>
      </c>
      <c r="CT137" t="s">
        <v>160</v>
      </c>
      <c r="CU137" s="3">
        <v>100</v>
      </c>
      <c r="CV137" s="3">
        <v>100</v>
      </c>
      <c r="CW137" s="3">
        <v>100</v>
      </c>
    </row>
    <row r="138" spans="1:192" s="158" customFormat="1">
      <c r="A138" s="190">
        <v>20107</v>
      </c>
      <c r="B138" s="8"/>
      <c r="C138" s="8">
        <v>75.8</v>
      </c>
      <c r="D138" s="8">
        <v>8</v>
      </c>
      <c r="E138" s="8">
        <v>4</v>
      </c>
      <c r="F138" s="8">
        <v>16</v>
      </c>
      <c r="G138" s="8">
        <v>7</v>
      </c>
      <c r="H138" s="8">
        <v>8.1999999999999993</v>
      </c>
      <c r="I138" s="79">
        <v>6.7</v>
      </c>
      <c r="J138" s="8" t="s">
        <v>291</v>
      </c>
      <c r="K138" s="77">
        <v>2.0490000000000001E-2</v>
      </c>
      <c r="L138" s="77">
        <v>2.1139999999999999E-2</v>
      </c>
      <c r="M138" s="77">
        <v>3.4759999999999999E-2</v>
      </c>
      <c r="N138" s="77">
        <v>2.0490000000000001E-2</v>
      </c>
      <c r="O138" s="77">
        <v>2.1139999999999999E-2</v>
      </c>
      <c r="P138" s="77">
        <v>3.4759999999999999E-2</v>
      </c>
      <c r="Q138" s="77">
        <v>0.68400000000000005</v>
      </c>
      <c r="R138" s="77">
        <v>0.13500000000000001</v>
      </c>
      <c r="S138" s="77">
        <v>1.4999999999999999E-2</v>
      </c>
      <c r="T138" s="77">
        <v>4.4999999999999998E-2</v>
      </c>
      <c r="U138" s="77">
        <v>0.12</v>
      </c>
      <c r="V138" s="77">
        <v>0</v>
      </c>
      <c r="W138" s="8">
        <v>52</v>
      </c>
      <c r="X138" s="77">
        <v>0.52300000000000002</v>
      </c>
      <c r="Y138" s="8">
        <v>91</v>
      </c>
      <c r="Z138" s="77">
        <v>0.10299999999999999</v>
      </c>
      <c r="AA138" s="77">
        <v>1.0999999999999999E-2</v>
      </c>
      <c r="AB138" s="77">
        <v>3.4000000000000002E-2</v>
      </c>
      <c r="AC138" s="77">
        <v>9.1999999999999998E-2</v>
      </c>
      <c r="AD138" s="77">
        <v>0.10299999999999999</v>
      </c>
      <c r="AE138" s="77">
        <v>0</v>
      </c>
      <c r="AF138" s="10" t="s">
        <v>155</v>
      </c>
      <c r="AG138" s="10" t="s">
        <v>156</v>
      </c>
      <c r="AH138" s="10" t="s">
        <v>253</v>
      </c>
      <c r="AI138" s="10">
        <v>12</v>
      </c>
      <c r="AJ138" s="10"/>
      <c r="AK138" s="10"/>
      <c r="AL138" s="10" t="s">
        <v>158</v>
      </c>
      <c r="AM138" s="78" t="s">
        <v>180</v>
      </c>
      <c r="AN138" s="78" t="s">
        <v>180</v>
      </c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31">
        <f t="shared" si="20"/>
        <v>-5.0042129466861276</v>
      </c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>
        <v>28</v>
      </c>
      <c r="BU138" s="8">
        <v>70</v>
      </c>
      <c r="BV138" s="8">
        <v>0.5</v>
      </c>
      <c r="BW138" s="8">
        <v>36</v>
      </c>
      <c r="BX138" s="8">
        <v>90</v>
      </c>
      <c r="BY138" s="8">
        <v>1.6</v>
      </c>
      <c r="BZ138" s="8"/>
      <c r="CA138" s="8"/>
      <c r="CB138" s="78" t="s">
        <v>180</v>
      </c>
      <c r="CC138" s="78" t="s">
        <v>180</v>
      </c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8"/>
      <c r="DA138" s="8"/>
      <c r="DB138" s="8"/>
      <c r="DC138" s="8"/>
      <c r="DD138" s="8"/>
      <c r="DE138" s="8"/>
      <c r="DF138" s="8"/>
      <c r="DG138" s="8"/>
      <c r="DH138" s="8"/>
      <c r="DI138" s="8"/>
      <c r="DJ138" s="79"/>
      <c r="DK138" s="8"/>
      <c r="DL138" s="8"/>
      <c r="DM138" s="8"/>
      <c r="DN138" s="8"/>
      <c r="DO138" s="8"/>
      <c r="DP138" s="8"/>
      <c r="DQ138" s="8"/>
      <c r="DR138" s="8"/>
      <c r="DS138" s="8"/>
      <c r="DT138" s="8"/>
      <c r="DU138" s="8"/>
      <c r="DV138" s="8"/>
      <c r="DW138" s="8"/>
      <c r="DX138" s="8"/>
      <c r="DY138" s="8"/>
      <c r="DZ138" s="8"/>
      <c r="EA138" s="8"/>
      <c r="EB138" s="8"/>
      <c r="EC138" s="8"/>
      <c r="ED138" s="8"/>
      <c r="EE138" s="8"/>
      <c r="EF138" s="8"/>
      <c r="EG138" s="8"/>
      <c r="EH138" s="8"/>
      <c r="EI138" s="8"/>
      <c r="EJ138" s="8"/>
      <c r="EK138" s="8"/>
      <c r="EL138" s="8"/>
      <c r="EM138" s="8"/>
      <c r="EN138" s="8"/>
      <c r="EO138" s="8"/>
      <c r="EP138" s="8"/>
      <c r="EQ138" s="8"/>
      <c r="ER138" s="8"/>
      <c r="ES138" s="8"/>
      <c r="ET138" s="8"/>
      <c r="EU138" s="8"/>
      <c r="EV138" s="8"/>
      <c r="EW138" s="8"/>
      <c r="EX138" s="8"/>
      <c r="EY138" s="8"/>
      <c r="EZ138" s="8"/>
      <c r="FA138" s="8"/>
      <c r="FB138" s="8"/>
      <c r="FC138" s="8"/>
      <c r="FD138" s="8"/>
      <c r="FE138" s="8"/>
      <c r="FF138" s="8"/>
      <c r="FG138" s="8"/>
      <c r="FH138" s="8"/>
      <c r="FI138" s="8"/>
      <c r="FJ138" s="8"/>
      <c r="FK138" s="8"/>
      <c r="FL138" s="8"/>
      <c r="FM138" s="8"/>
      <c r="FN138" s="8"/>
      <c r="FO138" s="8"/>
      <c r="FP138" s="8"/>
      <c r="FQ138" s="8"/>
      <c r="FR138" s="8"/>
      <c r="FS138" s="8"/>
      <c r="FT138" s="8"/>
      <c r="FU138" s="8"/>
      <c r="FV138" s="8"/>
      <c r="FW138" s="8"/>
      <c r="FX138" s="8"/>
      <c r="FY138" s="8"/>
      <c r="FZ138" s="8"/>
      <c r="GA138" s="8"/>
      <c r="GB138" s="8"/>
      <c r="GC138" s="8"/>
      <c r="GD138" s="8"/>
      <c r="GE138" s="8"/>
      <c r="GF138" s="8"/>
      <c r="GG138" s="8"/>
      <c r="GH138" s="8"/>
      <c r="GI138" s="8"/>
      <c r="GJ138" s="8"/>
    </row>
    <row r="139" spans="1:192" s="8" customFormat="1" ht="75">
      <c r="A139" s="190">
        <v>20108</v>
      </c>
      <c r="B139" s="72" t="s">
        <v>150</v>
      </c>
      <c r="C139" s="3">
        <v>58.8</v>
      </c>
      <c r="D139" s="3">
        <v>7</v>
      </c>
      <c r="E139" s="3">
        <v>2</v>
      </c>
      <c r="F139" s="3">
        <v>9</v>
      </c>
      <c r="G139" s="3">
        <v>7.1</v>
      </c>
      <c r="H139" s="3">
        <v>6.1</v>
      </c>
      <c r="I139" s="35">
        <v>7.2</v>
      </c>
      <c r="J139" s="3" t="s">
        <v>184</v>
      </c>
      <c r="K139" s="27">
        <v>2.2620000000000001E-2</v>
      </c>
      <c r="L139" s="27">
        <v>2.0209999999999999E-2</v>
      </c>
      <c r="M139" s="27">
        <v>1.5879999999999998E-2</v>
      </c>
      <c r="N139" s="27">
        <v>2.2620000000000001E-2</v>
      </c>
      <c r="O139" s="27">
        <v>2.0209999999999999E-2</v>
      </c>
      <c r="P139" s="27">
        <v>1.562E-2</v>
      </c>
      <c r="Q139" s="27">
        <v>0.72299999999999998</v>
      </c>
      <c r="R139" s="27">
        <v>7.2999999999999995E-2</v>
      </c>
      <c r="S139" s="27">
        <v>2.1999999999999999E-2</v>
      </c>
      <c r="T139" s="27">
        <v>2.9000000000000001E-2</v>
      </c>
      <c r="U139" s="27">
        <v>0.13100000000000001</v>
      </c>
      <c r="V139" s="27">
        <v>2.1999999999999999E-2</v>
      </c>
      <c r="W139" s="52">
        <v>57</v>
      </c>
      <c r="X139" s="27">
        <v>0.56599999999999995</v>
      </c>
      <c r="Y139" s="52">
        <v>99</v>
      </c>
      <c r="Z139" s="27">
        <v>5.7000000000000002E-2</v>
      </c>
      <c r="AA139" s="27">
        <v>1.7000000000000001E-2</v>
      </c>
      <c r="AB139" s="27">
        <v>2.3E-2</v>
      </c>
      <c r="AC139" s="27">
        <v>0.10299999999999999</v>
      </c>
      <c r="AD139" s="27">
        <f t="shared" ref="AD139:AD146" si="21">AC139+AA139</f>
        <v>0.12</v>
      </c>
      <c r="AE139" s="27">
        <v>1.7000000000000001E-2</v>
      </c>
      <c r="AF139" s="3" t="s">
        <v>172</v>
      </c>
      <c r="AG139" s="3" t="s">
        <v>156</v>
      </c>
      <c r="AH139" s="3" t="s">
        <v>177</v>
      </c>
      <c r="AI139" s="3">
        <v>19</v>
      </c>
      <c r="AJ139" s="3">
        <v>67</v>
      </c>
      <c r="AK139" s="3">
        <v>7</v>
      </c>
      <c r="AL139" s="3" t="s">
        <v>158</v>
      </c>
      <c r="AM139" s="3">
        <v>155</v>
      </c>
      <c r="AN139" s="3">
        <v>89</v>
      </c>
      <c r="AO139" s="3">
        <v>14</v>
      </c>
      <c r="AP139" s="3">
        <v>23</v>
      </c>
      <c r="AQ139" s="3">
        <v>39</v>
      </c>
      <c r="AR139" s="3">
        <v>98</v>
      </c>
      <c r="AS139" s="3">
        <v>36</v>
      </c>
      <c r="AT139" s="3">
        <v>90</v>
      </c>
      <c r="AU139" s="3">
        <v>80</v>
      </c>
      <c r="AV139" s="3">
        <v>100</v>
      </c>
      <c r="AW139" s="3">
        <v>74</v>
      </c>
      <c r="AX139" s="3">
        <v>93</v>
      </c>
      <c r="AY139" s="3" t="e">
        <f t="shared" ref="AY139:AY168" si="22">NORMINV(AV139/100,0,1)-NORMINV(1-(AX139/100),0,1)</f>
        <v>#NUM!</v>
      </c>
      <c r="AZ139" s="31">
        <f t="shared" si="20"/>
        <v>3.9394609957943727</v>
      </c>
      <c r="BA139" s="3">
        <v>28</v>
      </c>
      <c r="BB139" s="3">
        <v>93</v>
      </c>
      <c r="BC139" s="3">
        <v>15</v>
      </c>
      <c r="BD139" s="3">
        <v>100</v>
      </c>
      <c r="BE139" s="3">
        <v>13</v>
      </c>
      <c r="BF139" s="3">
        <v>87</v>
      </c>
      <c r="BG139" s="3">
        <v>14</v>
      </c>
      <c r="BH139" s="3">
        <v>47</v>
      </c>
      <c r="BI139" s="3">
        <v>26</v>
      </c>
      <c r="BJ139" s="3">
        <v>87</v>
      </c>
      <c r="BK139" s="3">
        <v>54</v>
      </c>
      <c r="BL139" s="3">
        <v>84</v>
      </c>
      <c r="BM139" s="3">
        <v>187</v>
      </c>
      <c r="BN139" s="3">
        <v>99</v>
      </c>
      <c r="BO139" s="21">
        <v>92</v>
      </c>
      <c r="BP139" s="3">
        <v>49</v>
      </c>
      <c r="BQ139" s="3">
        <v>94</v>
      </c>
      <c r="BR139" s="3" t="s">
        <v>185</v>
      </c>
      <c r="BS139" s="3">
        <v>2.2000000000000002</v>
      </c>
      <c r="BT139" s="3">
        <v>35</v>
      </c>
      <c r="BU139" s="3">
        <v>88</v>
      </c>
      <c r="BV139" s="3">
        <v>2.4500000000000002</v>
      </c>
      <c r="BW139" s="3">
        <v>39</v>
      </c>
      <c r="BX139" s="3">
        <v>98</v>
      </c>
      <c r="BY139" s="3">
        <v>3.72</v>
      </c>
      <c r="BZ139" s="3" t="s">
        <v>292</v>
      </c>
      <c r="CA139" s="3" t="s">
        <v>292</v>
      </c>
      <c r="CB139" s="33">
        <v>55</v>
      </c>
      <c r="CC139" s="34">
        <v>0.31428571428571428</v>
      </c>
      <c r="CD139" s="3">
        <v>96</v>
      </c>
      <c r="CE139" s="3">
        <v>96</v>
      </c>
      <c r="CF139" s="3">
        <v>100</v>
      </c>
      <c r="CG139" s="3">
        <v>100</v>
      </c>
      <c r="CH139" s="3" t="s">
        <v>160</v>
      </c>
      <c r="CI139" s="3" t="s">
        <v>293</v>
      </c>
      <c r="CJ139" s="3" t="s">
        <v>161</v>
      </c>
      <c r="CK139" s="3" t="s">
        <v>161</v>
      </c>
      <c r="CL139" s="1" t="s">
        <v>294</v>
      </c>
      <c r="CM139" s="3" t="s">
        <v>178</v>
      </c>
      <c r="CN139" s="3" t="s">
        <v>161</v>
      </c>
      <c r="CO139" s="3" t="s">
        <v>161</v>
      </c>
      <c r="CP139" s="3" t="s">
        <v>136</v>
      </c>
      <c r="CQ139" s="3">
        <v>1</v>
      </c>
      <c r="CR139" s="3"/>
      <c r="CS139" s="3" t="s">
        <v>160</v>
      </c>
      <c r="CT139" t="s">
        <v>160</v>
      </c>
      <c r="CU139" s="3">
        <v>100</v>
      </c>
      <c r="CV139" s="3">
        <v>100</v>
      </c>
      <c r="CW139" s="3">
        <v>100</v>
      </c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5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  <c r="FX139" s="3"/>
      <c r="FY139" s="3"/>
      <c r="FZ139" s="3"/>
      <c r="GA139" s="3"/>
      <c r="GB139" s="3"/>
      <c r="GC139" s="3"/>
      <c r="GD139" s="3"/>
      <c r="GE139" s="3"/>
      <c r="GF139" s="3"/>
      <c r="GG139" s="3"/>
      <c r="GH139" s="3"/>
      <c r="GI139" s="3"/>
      <c r="GJ139" s="3"/>
    </row>
    <row r="140" spans="1:192" ht="30">
      <c r="A140" s="190">
        <v>20109</v>
      </c>
      <c r="B140" s="72" t="s">
        <v>150</v>
      </c>
      <c r="C140" s="3">
        <v>84</v>
      </c>
      <c r="D140" s="3">
        <v>9</v>
      </c>
      <c r="E140" s="3">
        <v>8</v>
      </c>
      <c r="F140" s="3">
        <v>17</v>
      </c>
      <c r="G140" s="3">
        <v>8.9</v>
      </c>
      <c r="H140" s="3">
        <v>6.8</v>
      </c>
      <c r="I140" s="35">
        <v>9.3000000000000007</v>
      </c>
      <c r="J140" s="3" t="s">
        <v>279</v>
      </c>
      <c r="K140" s="27">
        <v>3.3450000000000001E-2</v>
      </c>
      <c r="L140" s="27">
        <v>1.839E-2</v>
      </c>
      <c r="M140" s="27">
        <v>1.54E-2</v>
      </c>
      <c r="N140" s="27">
        <v>3.3450000000000001E-2</v>
      </c>
      <c r="O140" s="27">
        <v>1.839E-2</v>
      </c>
      <c r="P140" s="27">
        <v>1.54E-2</v>
      </c>
      <c r="Q140" s="27">
        <v>0.84099999999999997</v>
      </c>
      <c r="R140" s="27">
        <v>6.0000000000000001E-3</v>
      </c>
      <c r="S140" s="27">
        <v>2.9000000000000001E-2</v>
      </c>
      <c r="T140" s="27">
        <v>6.0000000000000001E-3</v>
      </c>
      <c r="U140" s="27">
        <v>0.112</v>
      </c>
      <c r="V140" s="27">
        <v>6.0000000000000001E-3</v>
      </c>
      <c r="W140" s="52">
        <v>82</v>
      </c>
      <c r="X140" s="27">
        <v>0.81699999999999995</v>
      </c>
      <c r="Y140" s="52">
        <v>143</v>
      </c>
      <c r="Z140" s="27">
        <v>6.0000000000000001E-3</v>
      </c>
      <c r="AA140" s="27">
        <v>2.9000000000000001E-2</v>
      </c>
      <c r="AB140" s="27">
        <v>6.0000000000000001E-3</v>
      </c>
      <c r="AC140" s="27">
        <v>0.109</v>
      </c>
      <c r="AD140" s="27">
        <f t="shared" si="21"/>
        <v>0.13800000000000001</v>
      </c>
      <c r="AE140" s="27">
        <v>6.0000000000000001E-3</v>
      </c>
      <c r="AF140" s="3" t="s">
        <v>155</v>
      </c>
      <c r="AG140" s="3" t="s">
        <v>156</v>
      </c>
      <c r="AH140" s="3" t="s">
        <v>177</v>
      </c>
      <c r="AI140" s="3">
        <v>12</v>
      </c>
      <c r="AJ140" s="3">
        <v>50</v>
      </c>
      <c r="AK140" s="3">
        <v>6</v>
      </c>
      <c r="AL140" s="3" t="s">
        <v>158</v>
      </c>
      <c r="AM140" s="3">
        <v>168</v>
      </c>
      <c r="AN140" s="3">
        <v>96</v>
      </c>
      <c r="AO140" s="3">
        <v>27</v>
      </c>
      <c r="AP140" s="3">
        <v>45</v>
      </c>
      <c r="AQ140" s="3">
        <v>37</v>
      </c>
      <c r="AR140" s="3">
        <v>93</v>
      </c>
      <c r="AS140" s="3">
        <v>37</v>
      </c>
      <c r="AT140" s="3">
        <v>93</v>
      </c>
      <c r="AU140" s="3">
        <v>68</v>
      </c>
      <c r="AV140" s="3">
        <v>85</v>
      </c>
      <c r="AW140" s="3">
        <v>78</v>
      </c>
      <c r="AX140" s="3">
        <v>98</v>
      </c>
      <c r="AY140" s="3">
        <f t="shared" si="22"/>
        <v>3.0901823001256119</v>
      </c>
      <c r="AZ140" s="31">
        <f t="shared" si="20"/>
        <v>2.9624373917423936</v>
      </c>
      <c r="BA140" s="3">
        <v>26</v>
      </c>
      <c r="BB140" s="3">
        <v>87</v>
      </c>
      <c r="BC140" s="3">
        <v>14</v>
      </c>
      <c r="BD140" s="3">
        <v>93</v>
      </c>
      <c r="BE140" s="3">
        <v>12</v>
      </c>
      <c r="BF140" s="3">
        <v>80</v>
      </c>
      <c r="BG140" s="3">
        <v>21</v>
      </c>
      <c r="BH140" s="3">
        <v>70</v>
      </c>
      <c r="BI140" s="3">
        <v>29</v>
      </c>
      <c r="BJ140" s="3">
        <v>97</v>
      </c>
      <c r="BK140" s="3">
        <v>51</v>
      </c>
      <c r="BL140" s="3">
        <v>80</v>
      </c>
      <c r="BM140" s="3">
        <v>159</v>
      </c>
      <c r="BN140" s="3">
        <v>83</v>
      </c>
      <c r="BO140" s="21">
        <f>(BM140/204)*100</f>
        <v>77.941176470588232</v>
      </c>
      <c r="BP140" s="3">
        <v>50</v>
      </c>
      <c r="BQ140" s="3">
        <v>96</v>
      </c>
      <c r="BR140" s="3" t="s">
        <v>133</v>
      </c>
      <c r="BS140" s="3">
        <v>3</v>
      </c>
      <c r="BT140" s="3">
        <v>36</v>
      </c>
      <c r="BU140" s="3">
        <v>90</v>
      </c>
      <c r="BV140" s="3">
        <v>3</v>
      </c>
      <c r="BW140" s="3">
        <v>39</v>
      </c>
      <c r="BX140" s="3">
        <v>98</v>
      </c>
      <c r="BY140" s="3">
        <v>2</v>
      </c>
      <c r="BZ140" s="3" t="s">
        <v>147</v>
      </c>
      <c r="CA140" s="3" t="s">
        <v>147</v>
      </c>
      <c r="CB140" s="33">
        <v>8</v>
      </c>
      <c r="CC140" s="34">
        <v>4.5714285714285714E-2</v>
      </c>
      <c r="CD140" s="3">
        <v>98</v>
      </c>
      <c r="CE140" s="3">
        <v>98</v>
      </c>
      <c r="CF140" s="3">
        <v>99</v>
      </c>
      <c r="CG140" s="3">
        <v>100</v>
      </c>
      <c r="CH140" s="3" t="s">
        <v>160</v>
      </c>
      <c r="CI140" s="3" t="s">
        <v>161</v>
      </c>
      <c r="CJ140" s="3" t="s">
        <v>161</v>
      </c>
      <c r="CK140" s="49" t="s">
        <v>163</v>
      </c>
      <c r="CM140" s="3" t="s">
        <v>178</v>
      </c>
      <c r="CN140" s="3" t="s">
        <v>161</v>
      </c>
      <c r="CO140" s="3" t="s">
        <v>161</v>
      </c>
      <c r="CP140" s="49" t="s">
        <v>163</v>
      </c>
      <c r="CQ140" s="49"/>
      <c r="CS140" s="3" t="s">
        <v>160</v>
      </c>
      <c r="CT140" t="s">
        <v>160</v>
      </c>
      <c r="CU140" s="3">
        <v>100</v>
      </c>
      <c r="CV140" s="3">
        <v>96</v>
      </c>
      <c r="CW140" s="3">
        <v>96</v>
      </c>
    </row>
    <row r="141" spans="1:192" s="10" customFormat="1" ht="105">
      <c r="A141" s="190">
        <v>20110</v>
      </c>
      <c r="B141" s="23" t="s">
        <v>240</v>
      </c>
      <c r="C141" s="3">
        <v>42.3</v>
      </c>
      <c r="D141" s="3">
        <v>3</v>
      </c>
      <c r="E141" s="3">
        <v>2</v>
      </c>
      <c r="F141" s="3">
        <v>5</v>
      </c>
      <c r="G141" s="3">
        <v>6.45</v>
      </c>
      <c r="H141" s="3">
        <v>4.7</v>
      </c>
      <c r="I141" s="35">
        <v>5</v>
      </c>
      <c r="J141" s="3" t="s">
        <v>226</v>
      </c>
      <c r="K141" s="27">
        <v>1.401E-2</v>
      </c>
      <c r="L141" s="27">
        <v>2.469E-2</v>
      </c>
      <c r="M141" s="27">
        <v>4.2270000000000002E-2</v>
      </c>
      <c r="N141" s="27">
        <v>1.401E-2</v>
      </c>
      <c r="O141" s="27">
        <v>2.469E-2</v>
      </c>
      <c r="P141" s="27">
        <v>4.2270000000000002E-2</v>
      </c>
      <c r="Q141" s="27">
        <v>0.57899999999999996</v>
      </c>
      <c r="R141" s="27">
        <v>6.5000000000000002E-2</v>
      </c>
      <c r="S141" s="27">
        <v>8.4000000000000005E-2</v>
      </c>
      <c r="T141" s="27">
        <v>0.10299999999999999</v>
      </c>
      <c r="U141" s="27">
        <v>9.2999999999999999E-2</v>
      </c>
      <c r="V141" s="27">
        <v>7.4999999999999997E-2</v>
      </c>
      <c r="W141" s="52">
        <v>35</v>
      </c>
      <c r="X141" s="27">
        <v>0.35399999999999998</v>
      </c>
      <c r="Y141" s="52">
        <v>62</v>
      </c>
      <c r="Z141" s="27">
        <v>0.04</v>
      </c>
      <c r="AA141" s="27">
        <v>5.0999999999999997E-2</v>
      </c>
      <c r="AB141" s="27">
        <v>6.3E-2</v>
      </c>
      <c r="AC141" s="27">
        <v>5.7000000000000002E-2</v>
      </c>
      <c r="AD141" s="27">
        <f t="shared" si="21"/>
        <v>0.108</v>
      </c>
      <c r="AE141" s="27">
        <v>4.5999999999999999E-2</v>
      </c>
      <c r="AF141" s="3" t="s">
        <v>155</v>
      </c>
      <c r="AG141" s="3" t="s">
        <v>156</v>
      </c>
      <c r="AH141" s="3" t="s">
        <v>253</v>
      </c>
      <c r="AI141" s="3">
        <v>12</v>
      </c>
      <c r="AJ141" s="3">
        <v>65</v>
      </c>
      <c r="AK141" s="3">
        <v>13</v>
      </c>
      <c r="AL141" s="3" t="s">
        <v>158</v>
      </c>
      <c r="AM141" s="3">
        <v>167</v>
      </c>
      <c r="AN141" s="3">
        <v>95</v>
      </c>
      <c r="AO141" s="3">
        <v>13</v>
      </c>
      <c r="AP141" s="3">
        <v>22</v>
      </c>
      <c r="AQ141" s="3">
        <v>33</v>
      </c>
      <c r="AR141" s="3">
        <v>83</v>
      </c>
      <c r="AS141" s="3">
        <v>26</v>
      </c>
      <c r="AT141" s="3">
        <v>65</v>
      </c>
      <c r="AU141" s="3">
        <v>54</v>
      </c>
      <c r="AV141" s="3">
        <v>68</v>
      </c>
      <c r="AW141" s="3">
        <v>69</v>
      </c>
      <c r="AX141" s="3">
        <v>86</v>
      </c>
      <c r="AY141" s="3">
        <f t="shared" si="22"/>
        <v>1.5480181399294648</v>
      </c>
      <c r="AZ141" s="31">
        <f t="shared" si="20"/>
        <v>1.5220559377495841</v>
      </c>
      <c r="BA141" s="3">
        <v>15</v>
      </c>
      <c r="BB141" s="3">
        <v>50</v>
      </c>
      <c r="BC141" s="3">
        <v>9</v>
      </c>
      <c r="BD141" s="3">
        <v>60</v>
      </c>
      <c r="BE141" s="3">
        <v>6</v>
      </c>
      <c r="BF141" s="3">
        <v>40</v>
      </c>
      <c r="BG141" s="3">
        <v>16</v>
      </c>
      <c r="BH141" s="3">
        <v>53</v>
      </c>
      <c r="BI141" s="3">
        <v>24</v>
      </c>
      <c r="BJ141" s="3">
        <v>80</v>
      </c>
      <c r="BK141" s="3">
        <v>35</v>
      </c>
      <c r="BL141" s="3">
        <v>55</v>
      </c>
      <c r="BM141" s="3">
        <v>82</v>
      </c>
      <c r="BN141" s="3">
        <v>40</v>
      </c>
      <c r="BO141" s="21">
        <v>40</v>
      </c>
      <c r="BP141" s="3">
        <v>27</v>
      </c>
      <c r="BQ141" s="3">
        <v>52</v>
      </c>
      <c r="BR141" s="3" t="s">
        <v>185</v>
      </c>
      <c r="BS141" s="3">
        <v>1.4</v>
      </c>
      <c r="BT141" s="3">
        <v>28</v>
      </c>
      <c r="BU141" s="3">
        <v>70</v>
      </c>
      <c r="BV141" s="3">
        <v>0.5</v>
      </c>
      <c r="BW141" s="3">
        <v>30</v>
      </c>
      <c r="BX141" s="3">
        <v>75</v>
      </c>
      <c r="BY141" s="3">
        <v>0.5</v>
      </c>
      <c r="BZ141" s="3" t="s">
        <v>295</v>
      </c>
      <c r="CA141" s="3" t="s">
        <v>295</v>
      </c>
      <c r="CB141" s="33">
        <v>15</v>
      </c>
      <c r="CC141" s="34">
        <v>8.5714285714285715E-2</v>
      </c>
      <c r="CD141" s="3">
        <v>77</v>
      </c>
      <c r="CE141" s="3">
        <v>82</v>
      </c>
      <c r="CF141" s="3">
        <v>91</v>
      </c>
      <c r="CG141" s="3">
        <v>100</v>
      </c>
      <c r="CH141" s="3" t="s">
        <v>181</v>
      </c>
      <c r="CI141" s="3" t="s">
        <v>162</v>
      </c>
      <c r="CJ141" s="49" t="s">
        <v>195</v>
      </c>
      <c r="CK141" s="49" t="s">
        <v>163</v>
      </c>
      <c r="CL141" s="1" t="s">
        <v>296</v>
      </c>
      <c r="CM141" s="3" t="s">
        <v>178</v>
      </c>
      <c r="CN141" s="3" t="s">
        <v>188</v>
      </c>
      <c r="CO141" s="13"/>
      <c r="CP141" s="99"/>
      <c r="CQ141" s="99"/>
      <c r="CR141" s="1" t="s">
        <v>297</v>
      </c>
      <c r="CS141" s="1" t="s">
        <v>298</v>
      </c>
      <c r="CT141" s="3" t="s">
        <v>230</v>
      </c>
      <c r="CU141" s="3">
        <v>100</v>
      </c>
      <c r="CV141" s="3">
        <v>96</v>
      </c>
      <c r="CW141" s="3">
        <v>92</v>
      </c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5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  <c r="FX141" s="3"/>
      <c r="FY141" s="3"/>
      <c r="FZ141" s="3"/>
      <c r="GA141" s="3"/>
      <c r="GB141" s="3"/>
      <c r="GC141" s="3"/>
      <c r="GD141" s="3"/>
      <c r="GE141" s="3"/>
      <c r="GF141" s="3"/>
      <c r="GG141" s="3"/>
      <c r="GH141" s="3"/>
      <c r="GI141" s="3"/>
      <c r="GJ141" s="3"/>
    </row>
    <row r="142" spans="1:192" s="158" customFormat="1" ht="15.75" customHeight="1">
      <c r="A142" s="190">
        <v>20111</v>
      </c>
      <c r="B142" s="72" t="s">
        <v>150</v>
      </c>
      <c r="C142" s="3">
        <v>33.200000000000003</v>
      </c>
      <c r="D142" s="3">
        <v>3</v>
      </c>
      <c r="E142" s="3">
        <v>2</v>
      </c>
      <c r="F142" s="3">
        <v>5</v>
      </c>
      <c r="G142" s="3">
        <v>6.3</v>
      </c>
      <c r="H142" s="3">
        <v>3.1</v>
      </c>
      <c r="I142" s="3">
        <v>2.2000000000000002</v>
      </c>
      <c r="J142" s="3" t="s">
        <v>226</v>
      </c>
      <c r="K142" s="27">
        <v>1.2789999999999999E-2</v>
      </c>
      <c r="L142" s="27">
        <v>1.1690000000000001E-2</v>
      </c>
      <c r="M142" s="27">
        <v>3.295E-2</v>
      </c>
      <c r="N142" s="27">
        <v>1.2789999999999999E-2</v>
      </c>
      <c r="O142" s="27">
        <v>1.1690000000000001E-2</v>
      </c>
      <c r="P142" s="27">
        <v>3.295E-2</v>
      </c>
      <c r="Q142" s="27">
        <v>0.248</v>
      </c>
      <c r="R142" s="27">
        <v>7.3999999999999996E-2</v>
      </c>
      <c r="S142" s="27">
        <v>4.5999999999999999E-2</v>
      </c>
      <c r="T142" s="27">
        <v>5.0999999999999997E-2</v>
      </c>
      <c r="U142" s="27">
        <v>0.32</v>
      </c>
      <c r="V142" s="27">
        <v>5.0999999999999997E-2</v>
      </c>
      <c r="W142" s="52">
        <v>17</v>
      </c>
      <c r="X142" s="27">
        <v>0.17100000000000001</v>
      </c>
      <c r="Y142" s="52">
        <v>30</v>
      </c>
      <c r="Z142" s="27">
        <v>5.0999999999999997E-2</v>
      </c>
      <c r="AA142" s="27">
        <v>4.5999999999999999E-2</v>
      </c>
      <c r="AB142" s="27">
        <v>5.0999999999999997E-2</v>
      </c>
      <c r="AC142" s="27">
        <v>0.32</v>
      </c>
      <c r="AD142" s="27">
        <f t="shared" si="21"/>
        <v>0.36599999999999999</v>
      </c>
      <c r="AE142" s="27">
        <v>5.0999999999999997E-2</v>
      </c>
      <c r="AF142" s="3" t="s">
        <v>172</v>
      </c>
      <c r="AG142" s="3" t="s">
        <v>156</v>
      </c>
      <c r="AH142" s="3" t="s">
        <v>253</v>
      </c>
      <c r="AI142" s="3">
        <v>13</v>
      </c>
      <c r="AJ142" s="3">
        <v>31</v>
      </c>
      <c r="AK142" s="3">
        <v>8</v>
      </c>
      <c r="AL142" s="3" t="s">
        <v>158</v>
      </c>
      <c r="AM142" s="3">
        <v>119</v>
      </c>
      <c r="AN142" s="3">
        <v>68</v>
      </c>
      <c r="AO142" s="3">
        <v>6</v>
      </c>
      <c r="AP142" s="3">
        <v>10</v>
      </c>
      <c r="AQ142" s="3">
        <v>35</v>
      </c>
      <c r="AR142" s="3">
        <v>88</v>
      </c>
      <c r="AS142" s="3">
        <v>34</v>
      </c>
      <c r="AT142" s="3">
        <v>85</v>
      </c>
      <c r="AU142" s="3">
        <v>66</v>
      </c>
      <c r="AV142" s="3">
        <v>83</v>
      </c>
      <c r="AW142" s="3">
        <v>64</v>
      </c>
      <c r="AX142" s="3">
        <v>80</v>
      </c>
      <c r="AY142" s="3">
        <f t="shared" si="22"/>
        <v>1.7957864867191102</v>
      </c>
      <c r="AZ142" s="31">
        <f t="shared" si="20"/>
        <v>1.7666519790790924</v>
      </c>
      <c r="BA142" s="3">
        <v>11</v>
      </c>
      <c r="BB142" s="3">
        <v>37</v>
      </c>
      <c r="BC142" s="3">
        <v>5</v>
      </c>
      <c r="BD142" s="3">
        <v>33</v>
      </c>
      <c r="BE142" s="3">
        <v>6</v>
      </c>
      <c r="BF142" s="3">
        <v>40</v>
      </c>
      <c r="BG142" s="3">
        <v>13</v>
      </c>
      <c r="BH142" s="3">
        <v>43</v>
      </c>
      <c r="BI142" s="3">
        <v>23</v>
      </c>
      <c r="BJ142" s="3">
        <v>77</v>
      </c>
      <c r="BK142" s="3">
        <v>34</v>
      </c>
      <c r="BL142" s="3">
        <v>53</v>
      </c>
      <c r="BM142" s="3">
        <v>106</v>
      </c>
      <c r="BN142" s="3">
        <v>51</v>
      </c>
      <c r="BO142" s="21">
        <v>52</v>
      </c>
      <c r="BP142" s="3">
        <v>43</v>
      </c>
      <c r="BQ142" s="3">
        <v>83</v>
      </c>
      <c r="BR142" s="3" t="s">
        <v>185</v>
      </c>
      <c r="BS142" s="3">
        <v>1.4</v>
      </c>
      <c r="BT142" s="3">
        <v>31</v>
      </c>
      <c r="BU142" s="3">
        <v>78</v>
      </c>
      <c r="BV142" s="3">
        <v>1.06</v>
      </c>
      <c r="BW142" s="3">
        <v>37</v>
      </c>
      <c r="BX142" s="3">
        <v>93</v>
      </c>
      <c r="BY142" s="3">
        <v>1.47</v>
      </c>
      <c r="BZ142" s="3" t="s">
        <v>227</v>
      </c>
      <c r="CA142" s="3" t="s">
        <v>227</v>
      </c>
      <c r="CB142" s="33">
        <v>48</v>
      </c>
      <c r="CC142" s="34">
        <v>0.2742857142857143</v>
      </c>
      <c r="CD142" s="3">
        <v>64</v>
      </c>
      <c r="CE142" s="3">
        <v>66</v>
      </c>
      <c r="CF142" s="3">
        <v>94</v>
      </c>
      <c r="CG142" s="3">
        <v>80</v>
      </c>
      <c r="CH142" s="3" t="s">
        <v>160</v>
      </c>
      <c r="CI142" s="3" t="s">
        <v>188</v>
      </c>
      <c r="CJ142" s="13"/>
      <c r="CK142" s="13"/>
      <c r="CL142" s="1" t="s">
        <v>299</v>
      </c>
      <c r="CM142" s="3" t="s">
        <v>300</v>
      </c>
      <c r="CN142" s="3" t="s">
        <v>188</v>
      </c>
      <c r="CO142" s="13"/>
      <c r="CP142" s="99"/>
      <c r="CQ142" s="99"/>
      <c r="CR142" s="1" t="s">
        <v>299</v>
      </c>
      <c r="CS142" s="3" t="s">
        <v>160</v>
      </c>
      <c r="CT142" t="s">
        <v>160</v>
      </c>
      <c r="CU142" s="3">
        <v>100</v>
      </c>
      <c r="CV142" s="3">
        <v>96</v>
      </c>
      <c r="CW142" s="3">
        <v>92</v>
      </c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/>
      <c r="GD142" s="3"/>
      <c r="GE142" s="3"/>
      <c r="GF142" s="3"/>
      <c r="GG142" s="3"/>
      <c r="GH142" s="3"/>
      <c r="GI142" s="3"/>
      <c r="GJ142" s="3"/>
    </row>
    <row r="143" spans="1:192" ht="30">
      <c r="A143" s="190">
        <v>20112</v>
      </c>
      <c r="B143" s="72" t="s">
        <v>150</v>
      </c>
      <c r="C143" s="3">
        <v>44</v>
      </c>
      <c r="D143" s="3">
        <v>3</v>
      </c>
      <c r="E143" s="3">
        <v>7</v>
      </c>
      <c r="F143" s="3">
        <v>10</v>
      </c>
      <c r="G143" s="3">
        <v>8.1999999999999993</v>
      </c>
      <c r="H143" s="3">
        <v>2.8</v>
      </c>
      <c r="I143" s="3">
        <v>1</v>
      </c>
      <c r="J143" s="3" t="s">
        <v>279</v>
      </c>
      <c r="K143" s="27">
        <v>1.0399999999999999E-3</v>
      </c>
      <c r="L143" s="27">
        <v>8.3499999999999998E-3</v>
      </c>
      <c r="M143" s="27">
        <v>6.132E-2</v>
      </c>
      <c r="N143" s="27">
        <v>1.0399999999999999E-3</v>
      </c>
      <c r="O143" s="27">
        <v>8.3499999999999998E-3</v>
      </c>
      <c r="P143" s="27">
        <v>6.132E-2</v>
      </c>
      <c r="Q143" s="27">
        <v>1.4E-2</v>
      </c>
      <c r="R143" s="27">
        <v>7.0000000000000001E-3</v>
      </c>
      <c r="S143" s="27">
        <v>9.9000000000000005E-2</v>
      </c>
      <c r="T143" s="27">
        <v>0</v>
      </c>
      <c r="U143" s="27">
        <v>0.66200000000000003</v>
      </c>
      <c r="V143" s="27">
        <v>0.218</v>
      </c>
      <c r="W143" s="52">
        <v>1</v>
      </c>
      <c r="X143" s="27">
        <v>1.0999999999999999E-2</v>
      </c>
      <c r="Y143" s="52">
        <v>2</v>
      </c>
      <c r="Z143" s="27">
        <v>6.0000000000000001E-3</v>
      </c>
      <c r="AA143" s="27">
        <v>0.08</v>
      </c>
      <c r="AB143" s="27">
        <v>0</v>
      </c>
      <c r="AC143" s="27">
        <v>0.53700000000000003</v>
      </c>
      <c r="AD143" s="27">
        <f t="shared" si="21"/>
        <v>0.61699999999999999</v>
      </c>
      <c r="AE143" s="27">
        <v>0.17699999999999999</v>
      </c>
      <c r="AF143" s="3" t="s">
        <v>172</v>
      </c>
      <c r="AG143" s="3" t="s">
        <v>156</v>
      </c>
      <c r="AH143" s="3" t="s">
        <v>177</v>
      </c>
      <c r="AI143" s="3">
        <v>12</v>
      </c>
      <c r="AJ143" s="3">
        <v>61</v>
      </c>
      <c r="AK143" s="3">
        <v>29</v>
      </c>
      <c r="AL143" s="3" t="s">
        <v>158</v>
      </c>
      <c r="AM143" s="3">
        <v>66</v>
      </c>
      <c r="AN143" s="3">
        <v>38</v>
      </c>
      <c r="AO143" s="3">
        <v>1</v>
      </c>
      <c r="AP143" s="3">
        <v>2</v>
      </c>
      <c r="AQ143" s="3">
        <v>36</v>
      </c>
      <c r="AR143" s="3">
        <v>90</v>
      </c>
      <c r="AS143" s="3">
        <v>29</v>
      </c>
      <c r="AT143" s="3">
        <v>73</v>
      </c>
      <c r="AU143" s="3">
        <v>63</v>
      </c>
      <c r="AV143" s="3">
        <v>79</v>
      </c>
      <c r="AW143" s="3">
        <v>77</v>
      </c>
      <c r="AX143" s="3">
        <v>96</v>
      </c>
      <c r="AY143" s="3">
        <f t="shared" si="22"/>
        <v>2.5571073182704103</v>
      </c>
      <c r="AZ143" s="31">
        <f t="shared" si="20"/>
        <v>2.4823372417089917</v>
      </c>
      <c r="BA143" s="3">
        <v>22</v>
      </c>
      <c r="BB143" s="3">
        <v>73</v>
      </c>
      <c r="BC143" s="3">
        <v>13</v>
      </c>
      <c r="BD143" s="3">
        <v>87</v>
      </c>
      <c r="BE143" s="3">
        <v>9</v>
      </c>
      <c r="BF143" s="3">
        <v>60</v>
      </c>
      <c r="BG143" s="3">
        <v>19</v>
      </c>
      <c r="BH143" s="3">
        <v>63</v>
      </c>
      <c r="BI143" s="3">
        <v>27</v>
      </c>
      <c r="BJ143" s="3">
        <v>90</v>
      </c>
      <c r="BK143" s="3">
        <v>42</v>
      </c>
      <c r="BL143" s="3">
        <v>66</v>
      </c>
      <c r="BM143" s="3">
        <v>120</v>
      </c>
      <c r="BN143" s="3">
        <v>63</v>
      </c>
      <c r="BO143" s="21">
        <v>59</v>
      </c>
      <c r="BP143" s="3">
        <v>47</v>
      </c>
      <c r="BQ143" s="3">
        <v>90</v>
      </c>
      <c r="BR143" s="3" t="s">
        <v>133</v>
      </c>
      <c r="BS143" s="3">
        <v>1</v>
      </c>
      <c r="BT143" s="3">
        <v>35</v>
      </c>
      <c r="BU143" s="3">
        <v>88</v>
      </c>
      <c r="BV143" s="3">
        <v>2.15</v>
      </c>
      <c r="BW143" s="3">
        <v>30</v>
      </c>
      <c r="BX143" s="3">
        <v>75</v>
      </c>
      <c r="BY143" s="3">
        <v>1</v>
      </c>
      <c r="BZ143" s="3" t="s">
        <v>147</v>
      </c>
      <c r="CA143" s="3" t="s">
        <v>147</v>
      </c>
      <c r="CB143" s="159" t="s">
        <v>301</v>
      </c>
      <c r="CC143" s="159">
        <v>0.08</v>
      </c>
      <c r="CD143" s="3">
        <v>80</v>
      </c>
      <c r="CE143" s="3">
        <v>83</v>
      </c>
      <c r="CF143" s="3">
        <v>97</v>
      </c>
      <c r="CG143" s="3">
        <v>100</v>
      </c>
      <c r="CH143" s="3" t="s">
        <v>283</v>
      </c>
      <c r="CI143" s="3" t="s">
        <v>188</v>
      </c>
      <c r="CJ143" s="13"/>
      <c r="CK143" s="99"/>
      <c r="CL143" s="1" t="s">
        <v>187</v>
      </c>
      <c r="CM143" s="3" t="s">
        <v>178</v>
      </c>
      <c r="CN143" s="3" t="s">
        <v>302</v>
      </c>
      <c r="CO143" s="13"/>
      <c r="CP143" s="99"/>
      <c r="CQ143" s="99"/>
      <c r="CR143" s="3" t="s">
        <v>303</v>
      </c>
      <c r="CS143" s="3" t="s">
        <v>160</v>
      </c>
      <c r="CT143" t="s">
        <v>160</v>
      </c>
      <c r="CU143" s="3">
        <v>100</v>
      </c>
      <c r="CV143" s="3">
        <v>96</v>
      </c>
      <c r="CW143" s="3">
        <v>100</v>
      </c>
      <c r="DJ143" s="3"/>
    </row>
    <row r="144" spans="1:192" s="2" customFormat="1" ht="45">
      <c r="A144" s="190">
        <v>20113</v>
      </c>
      <c r="B144" s="24" t="s">
        <v>225</v>
      </c>
      <c r="C144" s="3">
        <v>89.8</v>
      </c>
      <c r="D144" s="3">
        <v>9</v>
      </c>
      <c r="E144" s="3">
        <v>9</v>
      </c>
      <c r="F144" s="3">
        <v>18</v>
      </c>
      <c r="G144" s="3">
        <v>9.5</v>
      </c>
      <c r="H144" s="3">
        <v>8.6999999999999993</v>
      </c>
      <c r="I144" s="35">
        <v>8.6999999999999993</v>
      </c>
      <c r="J144" s="3" t="s">
        <v>154</v>
      </c>
      <c r="K144" s="27">
        <v>2.528E-2</v>
      </c>
      <c r="L144" s="27">
        <v>2.239E-2</v>
      </c>
      <c r="M144" s="27">
        <v>1.77E-2</v>
      </c>
      <c r="N144" s="27">
        <v>2.528E-2</v>
      </c>
      <c r="O144" s="27">
        <v>2.239E-2</v>
      </c>
      <c r="P144" s="27">
        <v>1.77E-2</v>
      </c>
      <c r="Q144" s="27">
        <v>0.81100000000000005</v>
      </c>
      <c r="R144" s="27">
        <v>2.5000000000000001E-2</v>
      </c>
      <c r="S144" s="27">
        <v>3.7999999999999999E-2</v>
      </c>
      <c r="T144" s="27">
        <v>3.7999999999999999E-2</v>
      </c>
      <c r="U144" s="27">
        <v>8.2000000000000003E-2</v>
      </c>
      <c r="V144" s="27">
        <v>6.0000000000000001E-3</v>
      </c>
      <c r="W144" s="52">
        <v>74</v>
      </c>
      <c r="X144" s="27">
        <v>0.73699999999999999</v>
      </c>
      <c r="Y144" s="52">
        <v>129</v>
      </c>
      <c r="Z144" s="27">
        <v>2.3E-2</v>
      </c>
      <c r="AA144" s="27">
        <v>3.4000000000000002E-2</v>
      </c>
      <c r="AB144" s="27">
        <v>3.4000000000000002E-2</v>
      </c>
      <c r="AC144" s="27">
        <v>7.3999999999999996E-2</v>
      </c>
      <c r="AD144" s="27">
        <f t="shared" si="21"/>
        <v>0.108</v>
      </c>
      <c r="AE144" s="27">
        <v>6.0000000000000001E-3</v>
      </c>
      <c r="AF144" s="3" t="s">
        <v>155</v>
      </c>
      <c r="AG144" s="3" t="s">
        <v>156</v>
      </c>
      <c r="AH144" s="3" t="s">
        <v>177</v>
      </c>
      <c r="AI144" s="3">
        <v>18</v>
      </c>
      <c r="AJ144" s="3">
        <v>42</v>
      </c>
      <c r="AK144" s="3">
        <v>8</v>
      </c>
      <c r="AL144" s="3" t="s">
        <v>158</v>
      </c>
      <c r="AM144" s="3">
        <v>170</v>
      </c>
      <c r="AN144" s="3">
        <v>97</v>
      </c>
      <c r="AO144" s="3">
        <v>48</v>
      </c>
      <c r="AP144" s="3">
        <v>80</v>
      </c>
      <c r="AQ144" s="3">
        <v>38</v>
      </c>
      <c r="AR144" s="3">
        <v>95</v>
      </c>
      <c r="AS144" s="3">
        <v>35</v>
      </c>
      <c r="AT144" s="3">
        <v>88</v>
      </c>
      <c r="AU144" s="3">
        <v>76</v>
      </c>
      <c r="AV144" s="3">
        <v>95</v>
      </c>
      <c r="AW144" s="3">
        <v>77</v>
      </c>
      <c r="AX144" s="3">
        <v>96</v>
      </c>
      <c r="AY144" s="3">
        <f t="shared" si="22"/>
        <v>3.395539698203641</v>
      </c>
      <c r="AZ144" s="31">
        <f t="shared" si="20"/>
        <v>3.2814960447310035</v>
      </c>
      <c r="BA144" s="3">
        <v>25</v>
      </c>
      <c r="BB144" s="3">
        <v>83</v>
      </c>
      <c r="BC144" s="3">
        <v>12</v>
      </c>
      <c r="BD144" s="3">
        <v>80</v>
      </c>
      <c r="BE144" s="3">
        <v>13</v>
      </c>
      <c r="BF144" s="3">
        <v>86</v>
      </c>
      <c r="BG144" s="3">
        <v>25</v>
      </c>
      <c r="BH144" s="3">
        <v>83</v>
      </c>
      <c r="BI144" s="3">
        <v>29</v>
      </c>
      <c r="BJ144" s="3">
        <v>96</v>
      </c>
      <c r="BK144" s="3">
        <v>42</v>
      </c>
      <c r="BL144" s="3">
        <v>66</v>
      </c>
      <c r="BM144" s="3">
        <v>164</v>
      </c>
      <c r="BN144" s="3">
        <v>82</v>
      </c>
      <c r="BO144" s="21">
        <v>80</v>
      </c>
      <c r="BP144" s="3">
        <v>47</v>
      </c>
      <c r="BQ144" s="3">
        <v>90</v>
      </c>
      <c r="BR144" s="3" t="s">
        <v>133</v>
      </c>
      <c r="BS144" s="3">
        <v>3.6</v>
      </c>
      <c r="BT144" s="3">
        <v>36</v>
      </c>
      <c r="BU144" s="3">
        <v>90</v>
      </c>
      <c r="BV144" s="3">
        <v>2.56</v>
      </c>
      <c r="BW144" s="3">
        <v>38</v>
      </c>
      <c r="BX144" s="3">
        <v>95</v>
      </c>
      <c r="BY144" s="3">
        <v>5</v>
      </c>
      <c r="BZ144" s="3" t="s">
        <v>147</v>
      </c>
      <c r="CA144" s="3" t="s">
        <v>147</v>
      </c>
      <c r="CB144" s="33">
        <v>0</v>
      </c>
      <c r="CC144" s="34">
        <v>0</v>
      </c>
      <c r="CD144" s="3">
        <v>91</v>
      </c>
      <c r="CE144" s="3">
        <v>91</v>
      </c>
      <c r="CF144" s="3">
        <v>98</v>
      </c>
      <c r="CG144" s="3">
        <v>70</v>
      </c>
      <c r="CH144" s="3" t="s">
        <v>160</v>
      </c>
      <c r="CI144" s="3" t="s">
        <v>161</v>
      </c>
      <c r="CJ144" s="49" t="s">
        <v>195</v>
      </c>
      <c r="CK144" s="49" t="s">
        <v>163</v>
      </c>
      <c r="CL144" s="3"/>
      <c r="CM144" s="3" t="s">
        <v>178</v>
      </c>
      <c r="CN144" s="3" t="s">
        <v>161</v>
      </c>
      <c r="CO144" s="49" t="s">
        <v>195</v>
      </c>
      <c r="CP144" s="49" t="s">
        <v>163</v>
      </c>
      <c r="CQ144" s="49"/>
      <c r="CR144" s="3"/>
      <c r="CS144" t="s">
        <v>160</v>
      </c>
      <c r="CT144" t="s">
        <v>160</v>
      </c>
      <c r="CU144" s="3">
        <v>100</v>
      </c>
      <c r="CV144" s="3">
        <v>100</v>
      </c>
      <c r="CW144" s="3">
        <v>96</v>
      </c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5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  <c r="FX144" s="3"/>
      <c r="FY144" s="3"/>
      <c r="FZ144" s="3"/>
      <c r="GA144" s="3"/>
      <c r="GB144" s="3"/>
      <c r="GC144" s="3"/>
      <c r="GD144" s="3"/>
      <c r="GE144" s="3"/>
      <c r="GF144" s="3"/>
      <c r="GG144" s="3"/>
      <c r="GH144" s="3"/>
      <c r="GI144" s="3"/>
      <c r="GJ144" s="3"/>
    </row>
    <row r="145" spans="1:192" ht="30">
      <c r="A145" s="190">
        <v>20114</v>
      </c>
      <c r="B145" s="23" t="s">
        <v>240</v>
      </c>
      <c r="C145" s="3">
        <v>90.4</v>
      </c>
      <c r="D145" s="3">
        <v>9</v>
      </c>
      <c r="E145" s="3">
        <v>9</v>
      </c>
      <c r="F145" s="3">
        <v>18</v>
      </c>
      <c r="G145" s="3">
        <v>8.9</v>
      </c>
      <c r="H145" s="3">
        <v>9.5</v>
      </c>
      <c r="I145" s="35">
        <v>8.8000000000000007</v>
      </c>
      <c r="J145" s="3" t="s">
        <v>154</v>
      </c>
      <c r="K145" s="27">
        <v>8.7580000000000005E-2</v>
      </c>
      <c r="L145" s="27">
        <v>1.6070000000000001E-2</v>
      </c>
      <c r="M145" s="27">
        <v>5.5599999999999998E-3</v>
      </c>
      <c r="N145" s="27">
        <v>4.2000000000000003E-2</v>
      </c>
      <c r="O145" s="27">
        <v>2.5000000000000001E-2</v>
      </c>
      <c r="P145" s="27">
        <v>5.5599999999999998E-3</v>
      </c>
      <c r="Q145" s="27">
        <v>0.93799999999999994</v>
      </c>
      <c r="R145" s="27">
        <v>2.5000000000000001E-2</v>
      </c>
      <c r="S145" s="27">
        <v>0</v>
      </c>
      <c r="T145" s="27">
        <v>1.9E-2</v>
      </c>
      <c r="U145" s="27">
        <v>1.9E-2</v>
      </c>
      <c r="V145" s="27">
        <v>0</v>
      </c>
      <c r="W145" s="52">
        <v>86</v>
      </c>
      <c r="X145" s="27">
        <v>0.86299999999999999</v>
      </c>
      <c r="Y145" s="52">
        <v>151</v>
      </c>
      <c r="Z145" s="27">
        <v>2.3E-2</v>
      </c>
      <c r="AA145" s="27">
        <v>0</v>
      </c>
      <c r="AB145" s="27">
        <v>1.7000000000000001E-2</v>
      </c>
      <c r="AC145" s="27">
        <v>1.7000000000000001E-2</v>
      </c>
      <c r="AD145" s="27">
        <f t="shared" si="21"/>
        <v>1.7000000000000001E-2</v>
      </c>
      <c r="AE145" s="27">
        <v>0</v>
      </c>
      <c r="AF145" s="3" t="s">
        <v>155</v>
      </c>
      <c r="AG145" s="3" t="s">
        <v>156</v>
      </c>
      <c r="AH145" s="3" t="s">
        <v>253</v>
      </c>
      <c r="AI145" s="3">
        <v>16</v>
      </c>
      <c r="AJ145" s="3">
        <v>42</v>
      </c>
      <c r="AK145" s="3">
        <v>7</v>
      </c>
      <c r="AL145" s="3" t="s">
        <v>158</v>
      </c>
      <c r="AM145" s="3">
        <v>164</v>
      </c>
      <c r="AN145" s="3">
        <v>94</v>
      </c>
      <c r="AO145" s="3">
        <v>35</v>
      </c>
      <c r="AP145" s="3">
        <v>58</v>
      </c>
      <c r="AQ145" s="3">
        <v>37</v>
      </c>
      <c r="AR145" s="3">
        <v>93</v>
      </c>
      <c r="AS145" s="3">
        <v>36</v>
      </c>
      <c r="AT145" s="3">
        <v>90</v>
      </c>
      <c r="AU145" s="3">
        <v>76</v>
      </c>
      <c r="AV145" s="3">
        <v>95</v>
      </c>
      <c r="AW145" s="3">
        <v>75</v>
      </c>
      <c r="AX145" s="3">
        <v>93</v>
      </c>
      <c r="AY145" s="3">
        <f t="shared" si="22"/>
        <v>3.1206446551306426</v>
      </c>
      <c r="AZ145" s="31">
        <f t="shared" si="20"/>
        <v>3.0305733404743593</v>
      </c>
      <c r="BA145" s="3">
        <v>25</v>
      </c>
      <c r="BB145" s="3">
        <v>83</v>
      </c>
      <c r="BC145" s="3">
        <v>14</v>
      </c>
      <c r="BD145" s="3">
        <v>93</v>
      </c>
      <c r="BE145" s="3">
        <v>11</v>
      </c>
      <c r="BF145" s="3">
        <v>73</v>
      </c>
      <c r="BG145" s="3">
        <v>25</v>
      </c>
      <c r="BH145" s="3">
        <v>83</v>
      </c>
      <c r="BI145" s="3">
        <v>28</v>
      </c>
      <c r="BJ145" s="3">
        <v>93</v>
      </c>
      <c r="BK145" s="3">
        <v>46</v>
      </c>
      <c r="BL145" s="3">
        <v>72</v>
      </c>
      <c r="BM145" s="3">
        <v>155</v>
      </c>
      <c r="BN145" s="3">
        <v>88</v>
      </c>
      <c r="BO145" s="21">
        <v>76</v>
      </c>
      <c r="BP145" s="3">
        <v>42</v>
      </c>
      <c r="BQ145" s="3">
        <v>81</v>
      </c>
      <c r="BR145" s="3" t="s">
        <v>133</v>
      </c>
      <c r="BS145" s="3">
        <v>4.4000000000000004</v>
      </c>
      <c r="BT145" s="3">
        <v>34</v>
      </c>
      <c r="BU145" s="3">
        <v>85</v>
      </c>
      <c r="BV145" s="3">
        <v>2.36</v>
      </c>
      <c r="BW145" s="3">
        <v>39</v>
      </c>
      <c r="BX145" s="3">
        <v>98</v>
      </c>
      <c r="BY145" s="3">
        <v>4</v>
      </c>
      <c r="BZ145" s="3" t="s">
        <v>147</v>
      </c>
      <c r="CA145" s="3" t="s">
        <v>147</v>
      </c>
      <c r="CB145" s="33">
        <v>0</v>
      </c>
      <c r="CC145" s="34">
        <v>0</v>
      </c>
      <c r="CD145" s="3">
        <v>98</v>
      </c>
      <c r="CE145" s="3">
        <v>98</v>
      </c>
      <c r="CF145" s="3">
        <v>99</v>
      </c>
      <c r="CG145" s="3">
        <v>90</v>
      </c>
      <c r="CH145" s="3" t="s">
        <v>160</v>
      </c>
      <c r="CI145" s="3" t="s">
        <v>161</v>
      </c>
      <c r="CJ145" s="3" t="s">
        <v>161</v>
      </c>
      <c r="CK145" s="49" t="s">
        <v>163</v>
      </c>
      <c r="CM145" s="3" t="s">
        <v>284</v>
      </c>
      <c r="CN145" s="3" t="s">
        <v>161</v>
      </c>
      <c r="CO145" s="3" t="s">
        <v>161</v>
      </c>
      <c r="CP145" s="49" t="s">
        <v>163</v>
      </c>
      <c r="CQ145" s="49"/>
      <c r="CS145" s="3" t="s">
        <v>160</v>
      </c>
      <c r="CT145" s="3" t="s">
        <v>160</v>
      </c>
      <c r="CU145" s="3">
        <v>95</v>
      </c>
      <c r="CV145" s="3">
        <v>100</v>
      </c>
      <c r="CW145" s="3">
        <v>100</v>
      </c>
    </row>
    <row r="146" spans="1:192" ht="45">
      <c r="A146" s="190">
        <v>20115</v>
      </c>
      <c r="B146" s="72" t="s">
        <v>150</v>
      </c>
      <c r="C146" s="3">
        <v>57.5</v>
      </c>
      <c r="D146" s="3">
        <v>5</v>
      </c>
      <c r="E146" s="3">
        <v>7</v>
      </c>
      <c r="F146" s="3">
        <v>12</v>
      </c>
      <c r="G146" s="3">
        <v>6.65</v>
      </c>
      <c r="H146" s="3">
        <v>6.4</v>
      </c>
      <c r="I146" s="35">
        <v>3.7</v>
      </c>
      <c r="J146" s="3" t="s">
        <v>304</v>
      </c>
      <c r="K146" s="27">
        <v>1.174E-2</v>
      </c>
      <c r="L146" s="27">
        <v>1.273E-2</v>
      </c>
      <c r="M146" s="27">
        <v>2.104E-2</v>
      </c>
      <c r="N146" s="27">
        <v>1.174E-2</v>
      </c>
      <c r="O146" s="27">
        <v>1.273E-2</v>
      </c>
      <c r="P146" s="27">
        <v>2.104E-2</v>
      </c>
      <c r="Q146" s="27">
        <v>0.25</v>
      </c>
      <c r="R146" s="27">
        <v>7.1999999999999995E-2</v>
      </c>
      <c r="S146" s="27">
        <v>0.14499999999999999</v>
      </c>
      <c r="T146" s="27">
        <v>4.5999999999999999E-2</v>
      </c>
      <c r="U146" s="27">
        <v>0.41399999999999998</v>
      </c>
      <c r="V146" s="27">
        <v>7.1999999999999995E-2</v>
      </c>
      <c r="W146" s="52">
        <v>22</v>
      </c>
      <c r="X146" s="27">
        <v>0.217</v>
      </c>
      <c r="Y146" s="52">
        <v>38</v>
      </c>
      <c r="Z146" s="27">
        <v>6.3E-2</v>
      </c>
      <c r="AA146" s="27">
        <v>0.126</v>
      </c>
      <c r="AB146" s="27">
        <v>0.04</v>
      </c>
      <c r="AC146" s="27">
        <v>0.36</v>
      </c>
      <c r="AD146" s="27">
        <f t="shared" si="21"/>
        <v>0.48599999999999999</v>
      </c>
      <c r="AE146" s="27">
        <v>6.3E-2</v>
      </c>
      <c r="AF146" s="3" t="s">
        <v>172</v>
      </c>
      <c r="AG146" s="3" t="s">
        <v>156</v>
      </c>
      <c r="AH146" s="3" t="s">
        <v>177</v>
      </c>
      <c r="AI146" s="3">
        <v>6</v>
      </c>
      <c r="AJ146" s="3">
        <v>73</v>
      </c>
      <c r="AK146" s="3">
        <v>9</v>
      </c>
      <c r="AL146" s="3" t="s">
        <v>158</v>
      </c>
      <c r="AM146" s="3">
        <v>169</v>
      </c>
      <c r="AN146" s="3">
        <v>97</v>
      </c>
      <c r="AO146" s="3">
        <v>38</v>
      </c>
      <c r="AP146" s="3">
        <v>63</v>
      </c>
      <c r="AQ146" s="3">
        <v>35</v>
      </c>
      <c r="AR146" s="3">
        <v>88</v>
      </c>
      <c r="AS146" s="3">
        <v>31</v>
      </c>
      <c r="AT146" s="3">
        <v>78</v>
      </c>
      <c r="AU146" s="3">
        <v>72</v>
      </c>
      <c r="AV146" s="3">
        <v>90</v>
      </c>
      <c r="AW146" s="3">
        <v>73</v>
      </c>
      <c r="AX146" s="3">
        <v>91</v>
      </c>
      <c r="AY146" s="3">
        <f t="shared" si="22"/>
        <v>2.6223065992348165</v>
      </c>
      <c r="AZ146" s="31">
        <f t="shared" si="20"/>
        <v>2.5641189668285032</v>
      </c>
      <c r="BA146" s="3">
        <v>21</v>
      </c>
      <c r="BB146" s="3">
        <v>70</v>
      </c>
      <c r="BC146" s="3">
        <v>13</v>
      </c>
      <c r="BD146" s="3">
        <v>87</v>
      </c>
      <c r="BE146" s="3">
        <v>8</v>
      </c>
      <c r="BF146" s="3">
        <v>53</v>
      </c>
      <c r="BG146" s="3">
        <v>13</v>
      </c>
      <c r="BH146" s="3">
        <v>43</v>
      </c>
      <c r="BI146" s="3">
        <v>22</v>
      </c>
      <c r="BJ146" s="3">
        <v>73</v>
      </c>
      <c r="BK146" s="3">
        <v>34</v>
      </c>
      <c r="BL146" s="3">
        <v>53</v>
      </c>
      <c r="BM146" s="3">
        <v>71</v>
      </c>
      <c r="BN146" s="3">
        <v>40</v>
      </c>
      <c r="BO146" s="21">
        <v>35</v>
      </c>
      <c r="BP146" s="3">
        <v>33</v>
      </c>
      <c r="BQ146" s="3">
        <v>63</v>
      </c>
      <c r="BR146" s="3" t="s">
        <v>133</v>
      </c>
      <c r="BS146" s="3">
        <v>2.4</v>
      </c>
      <c r="BT146" s="3">
        <v>22</v>
      </c>
      <c r="BU146" s="3">
        <v>70</v>
      </c>
      <c r="BV146" s="3">
        <v>0.5</v>
      </c>
      <c r="BW146" s="3">
        <v>38</v>
      </c>
      <c r="BX146" s="3">
        <v>95</v>
      </c>
      <c r="BY146" s="3">
        <v>1.8</v>
      </c>
      <c r="BZ146" s="3" t="s">
        <v>147</v>
      </c>
      <c r="CA146" s="3" t="s">
        <v>147</v>
      </c>
      <c r="CB146" s="33">
        <v>5</v>
      </c>
      <c r="CC146" s="34">
        <v>2.8571428571428571E-2</v>
      </c>
      <c r="CD146" s="3">
        <v>73</v>
      </c>
      <c r="CE146" s="3">
        <v>74</v>
      </c>
      <c r="CF146" s="3">
        <v>95</v>
      </c>
      <c r="CG146" s="3">
        <v>90</v>
      </c>
      <c r="CH146" s="3" t="s">
        <v>160</v>
      </c>
      <c r="CI146" s="3" t="s">
        <v>161</v>
      </c>
      <c r="CJ146" s="49" t="s">
        <v>195</v>
      </c>
      <c r="CK146" s="49" t="s">
        <v>163</v>
      </c>
      <c r="CL146" s="3" t="s">
        <v>251</v>
      </c>
      <c r="CM146" s="3" t="s">
        <v>178</v>
      </c>
      <c r="CN146" s="3" t="s">
        <v>161</v>
      </c>
      <c r="CO146" s="49" t="s">
        <v>195</v>
      </c>
      <c r="CP146" s="49" t="s">
        <v>163</v>
      </c>
      <c r="CQ146" s="49"/>
      <c r="CR146" s="3" t="s">
        <v>305</v>
      </c>
      <c r="CS146" s="1" t="s">
        <v>255</v>
      </c>
      <c r="CT146" s="3" t="s">
        <v>230</v>
      </c>
      <c r="CU146" s="3">
        <v>90</v>
      </c>
      <c r="CV146" s="3">
        <v>92</v>
      </c>
      <c r="CW146" s="3">
        <v>92</v>
      </c>
    </row>
    <row r="147" spans="1:192" s="10" customFormat="1" ht="45">
      <c r="A147" s="190">
        <v>20116</v>
      </c>
      <c r="B147" s="72" t="s">
        <v>306</v>
      </c>
      <c r="C147" s="3">
        <v>82.4</v>
      </c>
      <c r="D147" s="3">
        <v>9</v>
      </c>
      <c r="E147" s="3">
        <v>9</v>
      </c>
      <c r="F147" s="3">
        <v>18</v>
      </c>
      <c r="G147" s="3">
        <v>7.3</v>
      </c>
      <c r="H147" s="3">
        <v>8.1</v>
      </c>
      <c r="I147" s="35">
        <v>7.8</v>
      </c>
      <c r="J147" s="3" t="s">
        <v>248</v>
      </c>
      <c r="K147" s="26">
        <v>2.0719999999999999E-2</v>
      </c>
      <c r="L147" s="26">
        <v>3.1530000000000002E-2</v>
      </c>
      <c r="M147" s="26">
        <v>2.6120000000000001E-2</v>
      </c>
      <c r="N147" s="26">
        <v>2.0719999999999999E-2</v>
      </c>
      <c r="O147" s="26">
        <v>3.1530000000000002E-2</v>
      </c>
      <c r="P147" s="26">
        <v>2.6120000000000001E-2</v>
      </c>
      <c r="Q147" s="26">
        <v>0.80300000000000005</v>
      </c>
      <c r="R147" s="26">
        <v>0.121</v>
      </c>
      <c r="S147" s="26">
        <v>1.2999999999999999E-2</v>
      </c>
      <c r="T147" s="26">
        <v>4.4999999999999998E-2</v>
      </c>
      <c r="U147" s="26">
        <v>1.9E-2</v>
      </c>
      <c r="V147" s="26">
        <v>0</v>
      </c>
      <c r="W147" s="160">
        <v>72</v>
      </c>
      <c r="X147" s="26">
        <v>0.72</v>
      </c>
      <c r="Y147" s="52">
        <v>126</v>
      </c>
      <c r="Z147" s="26">
        <v>0.109</v>
      </c>
      <c r="AA147" s="26">
        <v>1.0999999999999999E-2</v>
      </c>
      <c r="AB147" s="26">
        <v>0.04</v>
      </c>
      <c r="AC147" s="26">
        <v>1.7000000000000001E-2</v>
      </c>
      <c r="AD147" s="26">
        <v>2.8000000000000001E-2</v>
      </c>
      <c r="AE147" s="26">
        <v>0</v>
      </c>
      <c r="AF147" s="3" t="s">
        <v>129</v>
      </c>
      <c r="AG147" s="3" t="s">
        <v>156</v>
      </c>
      <c r="AH147" s="23" t="s">
        <v>146</v>
      </c>
      <c r="AI147" s="23">
        <v>12</v>
      </c>
      <c r="AJ147" s="23">
        <v>41</v>
      </c>
      <c r="AK147" s="23">
        <v>21</v>
      </c>
      <c r="AL147" s="3" t="s">
        <v>132</v>
      </c>
      <c r="AM147" s="3">
        <v>172</v>
      </c>
      <c r="AN147" s="3">
        <v>99</v>
      </c>
      <c r="AO147" s="3">
        <v>48</v>
      </c>
      <c r="AP147" s="3">
        <v>80</v>
      </c>
      <c r="AQ147" s="3">
        <v>39</v>
      </c>
      <c r="AR147" s="3">
        <v>98</v>
      </c>
      <c r="AS147" s="3">
        <v>36</v>
      </c>
      <c r="AT147" s="3">
        <v>90</v>
      </c>
      <c r="AU147" s="3">
        <v>75</v>
      </c>
      <c r="AV147" s="3">
        <v>94</v>
      </c>
      <c r="AW147" s="3">
        <v>75</v>
      </c>
      <c r="AX147" s="3">
        <v>94</v>
      </c>
      <c r="AY147" s="3">
        <f t="shared" si="22"/>
        <v>3.1095471891937057</v>
      </c>
      <c r="AZ147" s="31">
        <f t="shared" si="20"/>
        <v>3.0214055308583951</v>
      </c>
      <c r="BA147" s="3">
        <v>21</v>
      </c>
      <c r="BB147" s="3">
        <v>70</v>
      </c>
      <c r="BC147" s="3">
        <v>11</v>
      </c>
      <c r="BD147" s="3">
        <v>73</v>
      </c>
      <c r="BE147" s="3">
        <v>10</v>
      </c>
      <c r="BF147" s="3">
        <v>67</v>
      </c>
      <c r="BG147" s="3">
        <v>16</v>
      </c>
      <c r="BH147" s="3">
        <v>54</v>
      </c>
      <c r="BI147" s="3">
        <v>29</v>
      </c>
      <c r="BJ147" s="3">
        <v>97</v>
      </c>
      <c r="BK147" s="3">
        <v>50</v>
      </c>
      <c r="BL147" s="3">
        <v>78</v>
      </c>
      <c r="BM147" s="3">
        <v>167</v>
      </c>
      <c r="BN147" s="3">
        <v>84</v>
      </c>
      <c r="BO147" s="21">
        <v>82</v>
      </c>
      <c r="BP147" s="3">
        <v>45</v>
      </c>
      <c r="BQ147" s="3">
        <v>87</v>
      </c>
      <c r="BR147" s="3" t="s">
        <v>139</v>
      </c>
      <c r="BS147" s="3">
        <v>2.8</v>
      </c>
      <c r="BT147" s="3">
        <v>31</v>
      </c>
      <c r="BU147" s="3">
        <v>78</v>
      </c>
      <c r="BV147" s="3">
        <v>1.1100000000000001</v>
      </c>
      <c r="BW147" s="3">
        <v>37</v>
      </c>
      <c r="BX147" s="3">
        <v>93</v>
      </c>
      <c r="BY147" s="3">
        <v>2.83</v>
      </c>
      <c r="BZ147" s="3" t="s">
        <v>147</v>
      </c>
      <c r="CA147" s="3"/>
      <c r="CB147" s="159"/>
      <c r="CC147" s="159"/>
      <c r="CD147" s="3">
        <v>90</v>
      </c>
      <c r="CE147" s="3">
        <v>91</v>
      </c>
      <c r="CF147" s="3">
        <v>96</v>
      </c>
      <c r="CG147" s="3">
        <v>100</v>
      </c>
      <c r="CH147" s="3" t="s">
        <v>140</v>
      </c>
      <c r="CI147" s="3" t="s">
        <v>161</v>
      </c>
      <c r="CJ147" s="112" t="s">
        <v>191</v>
      </c>
      <c r="CK147" s="112" t="s">
        <v>142</v>
      </c>
      <c r="CL147" s="3"/>
      <c r="CM147" s="3" t="s">
        <v>178</v>
      </c>
      <c r="CN147" s="3" t="s">
        <v>161</v>
      </c>
      <c r="CO147" s="112" t="s">
        <v>191</v>
      </c>
      <c r="CP147" s="112" t="s">
        <v>142</v>
      </c>
      <c r="CQ147" s="112"/>
      <c r="CR147" s="3"/>
      <c r="CS147" s="1" t="s">
        <v>255</v>
      </c>
      <c r="CT147" s="3" t="s">
        <v>165</v>
      </c>
      <c r="CU147" s="3">
        <v>100</v>
      </c>
      <c r="CV147" s="3">
        <v>96</v>
      </c>
      <c r="CW147" s="3">
        <v>100</v>
      </c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5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  <c r="FX147" s="3"/>
      <c r="FY147" s="3"/>
      <c r="FZ147" s="3"/>
      <c r="GA147" s="3"/>
      <c r="GB147" s="3"/>
      <c r="GC147" s="3"/>
      <c r="GD147" s="3"/>
      <c r="GE147" s="3"/>
      <c r="GF147" s="3"/>
      <c r="GG147" s="3"/>
      <c r="GH147" s="3"/>
      <c r="GI147" s="3"/>
      <c r="GJ147" s="3"/>
    </row>
    <row r="148" spans="1:192" ht="45">
      <c r="A148" s="190">
        <v>20117</v>
      </c>
      <c r="B148" s="24" t="s">
        <v>225</v>
      </c>
      <c r="C148" s="3">
        <v>66.7</v>
      </c>
      <c r="D148" s="3">
        <v>8</v>
      </c>
      <c r="E148" s="3">
        <v>8</v>
      </c>
      <c r="F148" s="3">
        <v>16</v>
      </c>
      <c r="G148" s="3">
        <v>7.45</v>
      </c>
      <c r="H148" s="3">
        <v>5.0999999999999996</v>
      </c>
      <c r="I148" s="35">
        <v>4.8</v>
      </c>
      <c r="J148" s="3" t="s">
        <v>307</v>
      </c>
      <c r="K148" s="27">
        <v>1.291E-2</v>
      </c>
      <c r="L148" s="27">
        <v>2.1749999999999999E-2</v>
      </c>
      <c r="M148" s="27">
        <v>2.5499999999999998E-2</v>
      </c>
      <c r="N148" s="27">
        <v>1.291E-2</v>
      </c>
      <c r="O148" s="27">
        <v>2.1749999999999999E-2</v>
      </c>
      <c r="P148" s="27">
        <v>2.5499999999999998E-2</v>
      </c>
      <c r="Q148" s="27">
        <v>0.503</v>
      </c>
      <c r="R148" s="27">
        <v>7.4999999999999997E-2</v>
      </c>
      <c r="S148" s="27">
        <v>0.122</v>
      </c>
      <c r="T148" s="27">
        <v>6.0999999999999999E-2</v>
      </c>
      <c r="U148" s="27">
        <v>0.11600000000000001</v>
      </c>
      <c r="V148" s="27">
        <v>0.122</v>
      </c>
      <c r="W148" s="52">
        <v>42</v>
      </c>
      <c r="X148" s="27">
        <v>0.42299999999999999</v>
      </c>
      <c r="Y148" s="52">
        <v>74</v>
      </c>
      <c r="Z148" s="27">
        <v>6.3E-2</v>
      </c>
      <c r="AA148" s="27">
        <v>0.10299999999999999</v>
      </c>
      <c r="AB148" s="27">
        <v>5.0999999999999997E-2</v>
      </c>
      <c r="AC148" s="27">
        <v>9.7000000000000003E-2</v>
      </c>
      <c r="AD148" s="27">
        <f>AC148+AA148</f>
        <v>0.2</v>
      </c>
      <c r="AE148" s="27">
        <v>0.10299999999999999</v>
      </c>
      <c r="AF148" s="3" t="s">
        <v>172</v>
      </c>
      <c r="AG148" s="3" t="s">
        <v>156</v>
      </c>
      <c r="AH148" s="3" t="s">
        <v>177</v>
      </c>
      <c r="AI148" s="3">
        <v>20</v>
      </c>
      <c r="AJ148" s="3">
        <v>67</v>
      </c>
      <c r="AK148" s="3">
        <v>5</v>
      </c>
      <c r="AL148" s="3" t="s">
        <v>158</v>
      </c>
      <c r="AM148" s="3">
        <v>113</v>
      </c>
      <c r="AN148" s="3">
        <v>65</v>
      </c>
      <c r="AO148" s="3">
        <v>6</v>
      </c>
      <c r="AP148" s="3">
        <v>10</v>
      </c>
      <c r="AQ148" s="3">
        <v>33</v>
      </c>
      <c r="AR148" s="3">
        <v>83</v>
      </c>
      <c r="AS148" s="3">
        <v>29</v>
      </c>
      <c r="AT148" s="3">
        <v>73</v>
      </c>
      <c r="AU148" s="3">
        <v>64</v>
      </c>
      <c r="AV148" s="3">
        <v>80</v>
      </c>
      <c r="AW148" s="3">
        <v>75</v>
      </c>
      <c r="AX148" s="3">
        <v>94</v>
      </c>
      <c r="AY148" s="3">
        <f t="shared" si="22"/>
        <v>2.3963948281697673</v>
      </c>
      <c r="AZ148" s="31">
        <f t="shared" si="20"/>
        <v>2.339167414010332</v>
      </c>
      <c r="BA148" s="3">
        <v>25</v>
      </c>
      <c r="BB148" s="3">
        <v>83</v>
      </c>
      <c r="BC148" s="3">
        <v>14</v>
      </c>
      <c r="BD148" s="3">
        <v>93</v>
      </c>
      <c r="BE148" s="3">
        <v>11</v>
      </c>
      <c r="BF148" s="3">
        <v>73</v>
      </c>
      <c r="BG148" s="3">
        <v>23</v>
      </c>
      <c r="BH148" s="3">
        <v>77</v>
      </c>
      <c r="BI148" s="3">
        <v>28</v>
      </c>
      <c r="BJ148" s="3">
        <v>93</v>
      </c>
      <c r="BK148" s="3">
        <v>52</v>
      </c>
      <c r="BL148" s="3">
        <v>81</v>
      </c>
      <c r="BM148" s="3">
        <v>158</v>
      </c>
      <c r="BN148" s="3">
        <v>81</v>
      </c>
      <c r="BO148" s="21">
        <v>77</v>
      </c>
      <c r="BP148" s="3">
        <v>47</v>
      </c>
      <c r="BQ148" s="3">
        <v>90</v>
      </c>
      <c r="BR148" s="3" t="s">
        <v>133</v>
      </c>
      <c r="BS148" s="3">
        <v>1.6</v>
      </c>
      <c r="BT148" s="3">
        <v>28</v>
      </c>
      <c r="BU148" s="3">
        <v>70</v>
      </c>
      <c r="BV148" s="3">
        <v>0.5</v>
      </c>
      <c r="BW148" s="3">
        <v>35</v>
      </c>
      <c r="BX148" s="3">
        <v>88</v>
      </c>
      <c r="BY148" s="3">
        <v>1.46</v>
      </c>
      <c r="BZ148" s="3" t="s">
        <v>147</v>
      </c>
      <c r="CA148" s="3" t="s">
        <v>147</v>
      </c>
      <c r="CB148" s="33">
        <v>14</v>
      </c>
      <c r="CC148" s="34">
        <v>0.08</v>
      </c>
      <c r="CD148" s="3">
        <v>64</v>
      </c>
      <c r="CE148" s="3">
        <v>89</v>
      </c>
      <c r="CF148" s="3">
        <v>74</v>
      </c>
      <c r="CG148" s="3">
        <v>70</v>
      </c>
      <c r="CH148" s="3" t="s">
        <v>160</v>
      </c>
      <c r="CI148" s="3" t="s">
        <v>161</v>
      </c>
      <c r="CJ148" s="49" t="s">
        <v>195</v>
      </c>
      <c r="CK148" s="49" t="s">
        <v>163</v>
      </c>
      <c r="CL148" s="3" t="s">
        <v>308</v>
      </c>
      <c r="CM148" s="3" t="s">
        <v>178</v>
      </c>
      <c r="CN148" s="3" t="s">
        <v>161</v>
      </c>
      <c r="CO148" s="49" t="s">
        <v>195</v>
      </c>
      <c r="CP148" s="49" t="s">
        <v>163</v>
      </c>
      <c r="CQ148" s="49"/>
      <c r="CS148" s="1" t="s">
        <v>255</v>
      </c>
      <c r="CT148" t="s">
        <v>230</v>
      </c>
      <c r="CU148" s="3">
        <v>95</v>
      </c>
      <c r="CV148" s="3">
        <v>100</v>
      </c>
      <c r="CW148" s="3">
        <v>100</v>
      </c>
    </row>
    <row r="149" spans="1:192" s="158" customFormat="1">
      <c r="A149" s="190">
        <v>20118</v>
      </c>
      <c r="B149" s="161" t="s">
        <v>309</v>
      </c>
      <c r="C149" s="158">
        <v>74.900000000000006</v>
      </c>
      <c r="D149" s="158">
        <v>9</v>
      </c>
      <c r="E149" s="158">
        <v>5</v>
      </c>
      <c r="F149" s="158">
        <v>14</v>
      </c>
      <c r="G149" s="158">
        <v>7.45</v>
      </c>
      <c r="H149" s="158">
        <v>8.3000000000000007</v>
      </c>
      <c r="I149" s="35">
        <v>7.7</v>
      </c>
      <c r="J149" s="158" t="s">
        <v>310</v>
      </c>
      <c r="K149" s="162">
        <v>2.8899999999999999E-2</v>
      </c>
      <c r="L149" s="162">
        <v>2.017E-2</v>
      </c>
      <c r="M149" s="162">
        <v>7.2500000000000004E-3</v>
      </c>
      <c r="N149" s="162">
        <v>2.8899999999999999E-2</v>
      </c>
      <c r="O149" s="162">
        <v>2.017E-2</v>
      </c>
      <c r="P149" s="162">
        <v>7.2500000000000004E-3</v>
      </c>
      <c r="Q149" s="162">
        <v>0.81</v>
      </c>
      <c r="R149" s="162">
        <v>3.1E-2</v>
      </c>
      <c r="S149" s="162">
        <v>3.6999999999999998E-2</v>
      </c>
      <c r="T149" s="162">
        <v>1.7999999999999999E-2</v>
      </c>
      <c r="U149" s="162">
        <v>9.8000000000000004E-2</v>
      </c>
      <c r="V149" s="162">
        <v>6.0000000000000001E-3</v>
      </c>
      <c r="W149" s="163">
        <v>75</v>
      </c>
      <c r="X149" s="162">
        <v>0.754</v>
      </c>
      <c r="Y149" s="163">
        <v>132</v>
      </c>
      <c r="Z149" s="162">
        <v>2.9000000000000001E-2</v>
      </c>
      <c r="AA149" s="162">
        <v>3.4000000000000002E-2</v>
      </c>
      <c r="AB149" s="162">
        <v>1.7000000000000001E-2</v>
      </c>
      <c r="AC149" s="162">
        <v>9.0999999999999998E-2</v>
      </c>
      <c r="AD149" s="162">
        <v>0.125</v>
      </c>
      <c r="AE149" s="162">
        <v>6.0000000000000001E-3</v>
      </c>
      <c r="AF149" s="158" t="s">
        <v>129</v>
      </c>
      <c r="AG149" s="158" t="s">
        <v>156</v>
      </c>
      <c r="AH149" s="158" t="s">
        <v>177</v>
      </c>
      <c r="AI149" s="158">
        <v>14</v>
      </c>
      <c r="AJ149" s="158">
        <v>64</v>
      </c>
      <c r="AK149" s="158">
        <v>18</v>
      </c>
      <c r="AL149" s="158" t="s">
        <v>132</v>
      </c>
      <c r="AM149" s="158">
        <v>174</v>
      </c>
      <c r="AN149" s="158">
        <v>99</v>
      </c>
      <c r="AO149" s="158">
        <v>45</v>
      </c>
      <c r="AP149" s="158">
        <v>75</v>
      </c>
      <c r="AQ149" s="158">
        <v>40</v>
      </c>
      <c r="AR149" s="158">
        <v>100</v>
      </c>
      <c r="AS149" s="158">
        <v>40</v>
      </c>
      <c r="AT149" s="158">
        <v>100</v>
      </c>
      <c r="AU149" s="158">
        <v>79</v>
      </c>
      <c r="AV149" s="158">
        <v>99</v>
      </c>
      <c r="AW149" s="158">
        <v>73</v>
      </c>
      <c r="AX149" s="158">
        <v>91</v>
      </c>
      <c r="AY149" s="158">
        <f t="shared" si="22"/>
        <v>3.6671029077310568</v>
      </c>
      <c r="AZ149" s="31">
        <f t="shared" si="20"/>
        <v>3.4533925145637143</v>
      </c>
      <c r="BA149" s="158">
        <v>26</v>
      </c>
      <c r="BB149" s="158">
        <v>87</v>
      </c>
      <c r="BC149" s="158">
        <v>15</v>
      </c>
      <c r="BD149" s="158">
        <v>100</v>
      </c>
      <c r="BE149" s="158">
        <v>11</v>
      </c>
      <c r="BF149" s="158">
        <v>73</v>
      </c>
      <c r="BG149" s="158">
        <v>18</v>
      </c>
      <c r="BH149" s="158">
        <v>60</v>
      </c>
      <c r="BI149" s="158">
        <v>28</v>
      </c>
      <c r="BJ149" s="158">
        <v>93</v>
      </c>
      <c r="BK149" s="158">
        <v>41</v>
      </c>
      <c r="BL149" s="158">
        <v>64</v>
      </c>
      <c r="BM149" s="158">
        <v>174</v>
      </c>
      <c r="BN149" s="158">
        <v>88</v>
      </c>
      <c r="BO149" s="164">
        <v>85</v>
      </c>
      <c r="BP149" s="158">
        <v>39</v>
      </c>
      <c r="BQ149" s="158">
        <v>75</v>
      </c>
      <c r="BR149" s="158" t="s">
        <v>139</v>
      </c>
      <c r="BS149" s="158">
        <v>3.4</v>
      </c>
      <c r="BT149" s="158">
        <v>38</v>
      </c>
      <c r="BU149" s="158">
        <v>95</v>
      </c>
      <c r="BV149" s="165">
        <v>1.869</v>
      </c>
      <c r="BW149" s="158">
        <v>37</v>
      </c>
      <c r="BX149" s="158">
        <v>93</v>
      </c>
      <c r="BY149" s="158">
        <v>1.42</v>
      </c>
      <c r="BZ149" s="158" t="s">
        <v>147</v>
      </c>
      <c r="CB149" s="166"/>
      <c r="CC149" s="166"/>
      <c r="CD149" s="158">
        <v>94</v>
      </c>
      <c r="CE149" s="158">
        <v>97</v>
      </c>
      <c r="CF149" s="158">
        <v>98</v>
      </c>
      <c r="CG149" s="158">
        <v>100</v>
      </c>
      <c r="CH149" s="158" t="s">
        <v>140</v>
      </c>
      <c r="CI149" s="158" t="s">
        <v>136</v>
      </c>
      <c r="CJ149" s="167" t="s">
        <v>191</v>
      </c>
      <c r="CK149" s="167" t="s">
        <v>142</v>
      </c>
      <c r="CL149" s="158" t="s">
        <v>305</v>
      </c>
      <c r="CM149" s="158" t="s">
        <v>178</v>
      </c>
      <c r="CN149" s="158" t="s">
        <v>161</v>
      </c>
      <c r="CO149" s="167" t="s">
        <v>191</v>
      </c>
      <c r="CP149" s="167" t="s">
        <v>142</v>
      </c>
      <c r="CQ149" s="167"/>
      <c r="CR149" s="158" t="s">
        <v>305</v>
      </c>
      <c r="CS149" s="168" t="s">
        <v>160</v>
      </c>
      <c r="CT149" s="168" t="s">
        <v>160</v>
      </c>
      <c r="CU149" s="158">
        <v>100</v>
      </c>
      <c r="CV149" s="158">
        <v>100</v>
      </c>
      <c r="CW149" s="158">
        <v>100</v>
      </c>
      <c r="DJ149" s="35"/>
    </row>
    <row r="150" spans="1:192" ht="45">
      <c r="A150" s="190">
        <v>20119</v>
      </c>
      <c r="B150" s="72" t="s">
        <v>150</v>
      </c>
      <c r="C150" s="23">
        <v>68.8</v>
      </c>
      <c r="D150" s="3">
        <v>8</v>
      </c>
      <c r="E150" s="3">
        <v>5</v>
      </c>
      <c r="F150" s="3">
        <v>13</v>
      </c>
      <c r="G150" s="23">
        <v>8.1</v>
      </c>
      <c r="H150" s="23">
        <v>8</v>
      </c>
      <c r="I150" s="35">
        <v>5.3</v>
      </c>
      <c r="J150" s="23" t="s">
        <v>311</v>
      </c>
      <c r="K150" s="26">
        <v>1.7739999999999999E-2</v>
      </c>
      <c r="L150" s="26">
        <v>2.4420000000000001E-2</v>
      </c>
      <c r="M150" s="26">
        <v>4.0370000000000003E-2</v>
      </c>
      <c r="N150" s="26">
        <v>1.7739999999999999E-2</v>
      </c>
      <c r="O150" s="26">
        <v>2.4420000000000001E-2</v>
      </c>
      <c r="P150" s="26">
        <v>4.0370000000000003E-2</v>
      </c>
      <c r="Q150" s="26">
        <v>0.64700000000000002</v>
      </c>
      <c r="R150" s="26">
        <v>0.15</v>
      </c>
      <c r="S150" s="26">
        <v>2.3E-2</v>
      </c>
      <c r="T150" s="26">
        <v>7.4999999999999997E-2</v>
      </c>
      <c r="U150" s="26">
        <v>7.4999999999999997E-2</v>
      </c>
      <c r="V150" s="26">
        <v>0.03</v>
      </c>
      <c r="W150" s="160">
        <v>49</v>
      </c>
      <c r="X150" s="26">
        <v>0.49099999999999999</v>
      </c>
      <c r="Y150" s="52">
        <v>86</v>
      </c>
      <c r="Z150" s="26">
        <v>0.114</v>
      </c>
      <c r="AA150" s="26">
        <v>1.7000000000000001E-2</v>
      </c>
      <c r="AB150" s="26">
        <v>5.7000000000000002E-2</v>
      </c>
      <c r="AC150" s="26">
        <v>5.7000000000000002E-2</v>
      </c>
      <c r="AD150" s="26">
        <v>7.3999999999999996E-2</v>
      </c>
      <c r="AE150" s="26">
        <v>2.3E-2</v>
      </c>
      <c r="AF150" s="51" t="s">
        <v>167</v>
      </c>
      <c r="AG150" s="23" t="s">
        <v>130</v>
      </c>
      <c r="AH150" s="23" t="s">
        <v>146</v>
      </c>
      <c r="AI150" s="23">
        <v>20</v>
      </c>
      <c r="AJ150" s="23">
        <v>76</v>
      </c>
      <c r="AK150" s="23">
        <v>234</v>
      </c>
      <c r="AL150" s="1" t="s">
        <v>132</v>
      </c>
      <c r="AM150" s="3">
        <v>164</v>
      </c>
      <c r="AN150" s="23">
        <v>94</v>
      </c>
      <c r="AO150" s="3">
        <v>19</v>
      </c>
      <c r="AP150" s="23">
        <v>49</v>
      </c>
      <c r="AQ150" s="3">
        <v>36</v>
      </c>
      <c r="AR150" s="23">
        <v>90</v>
      </c>
      <c r="AS150" s="3">
        <v>32</v>
      </c>
      <c r="AT150" s="23">
        <v>80</v>
      </c>
      <c r="AU150" s="3">
        <v>69</v>
      </c>
      <c r="AV150" s="23">
        <v>86</v>
      </c>
      <c r="AW150" s="3">
        <v>74</v>
      </c>
      <c r="AX150" s="23">
        <v>93</v>
      </c>
      <c r="AY150" s="30">
        <f t="shared" si="22"/>
        <v>2.5561103689941271</v>
      </c>
      <c r="AZ150" s="31">
        <f t="shared" si="20"/>
        <v>2.497916765982735</v>
      </c>
      <c r="BA150" s="3">
        <v>17</v>
      </c>
      <c r="BB150" s="23">
        <v>57</v>
      </c>
      <c r="BC150" s="3">
        <v>9</v>
      </c>
      <c r="BD150" s="23">
        <v>60</v>
      </c>
      <c r="BE150" s="3">
        <v>8</v>
      </c>
      <c r="BF150" s="23">
        <v>53</v>
      </c>
      <c r="BG150" s="3">
        <v>14</v>
      </c>
      <c r="BH150" s="23">
        <v>47</v>
      </c>
      <c r="BI150" s="3">
        <v>26</v>
      </c>
      <c r="BJ150" s="23">
        <v>87</v>
      </c>
      <c r="BK150" s="3">
        <v>31</v>
      </c>
      <c r="BL150" s="23">
        <v>48</v>
      </c>
      <c r="BM150" s="3">
        <v>144</v>
      </c>
      <c r="BN150" s="3">
        <v>77</v>
      </c>
      <c r="BO150" s="21">
        <v>71</v>
      </c>
      <c r="BP150" s="3">
        <v>41</v>
      </c>
      <c r="BQ150" s="23">
        <v>79</v>
      </c>
      <c r="BR150" s="3" t="s">
        <v>133</v>
      </c>
      <c r="BS150" s="3">
        <v>2.4</v>
      </c>
      <c r="BT150" s="3">
        <v>36</v>
      </c>
      <c r="BU150" s="23">
        <v>90</v>
      </c>
      <c r="BV150" s="170">
        <v>1.75</v>
      </c>
      <c r="BW150" s="3">
        <v>35</v>
      </c>
      <c r="BX150" s="23">
        <v>88</v>
      </c>
      <c r="BY150" s="23">
        <v>1.56</v>
      </c>
      <c r="BZ150" s="3" t="s">
        <v>134</v>
      </c>
      <c r="CA150" s="3" t="s">
        <v>134</v>
      </c>
      <c r="CB150" s="103">
        <v>2</v>
      </c>
      <c r="CC150" s="103">
        <v>1.0999999999999999E-2</v>
      </c>
      <c r="CD150" s="3">
        <v>79</v>
      </c>
      <c r="CE150" s="3">
        <v>80</v>
      </c>
      <c r="CF150" s="3">
        <v>93</v>
      </c>
      <c r="CG150" s="3">
        <v>89</v>
      </c>
      <c r="CH150" s="1" t="s">
        <v>140</v>
      </c>
      <c r="CI150" s="3" t="s">
        <v>136</v>
      </c>
      <c r="CJ150" s="49" t="s">
        <v>195</v>
      </c>
      <c r="CK150" s="49" t="s">
        <v>142</v>
      </c>
      <c r="CM150" s="3" t="s">
        <v>175</v>
      </c>
      <c r="CN150" s="3" t="s">
        <v>136</v>
      </c>
      <c r="CO150" s="49" t="s">
        <v>195</v>
      </c>
      <c r="CP150" s="49" t="s">
        <v>163</v>
      </c>
      <c r="CQ150" s="49"/>
      <c r="CS150" t="s">
        <v>160</v>
      </c>
      <c r="CT150" s="3" t="s">
        <v>140</v>
      </c>
      <c r="CU150" s="3">
        <v>90</v>
      </c>
      <c r="CV150" s="3">
        <v>84</v>
      </c>
      <c r="CW150" s="3">
        <v>88</v>
      </c>
    </row>
    <row r="151" spans="1:192" ht="15.75" customHeight="1">
      <c r="A151" s="190">
        <v>20120</v>
      </c>
      <c r="B151" s="72" t="s">
        <v>150</v>
      </c>
      <c r="C151" s="23">
        <v>91.7</v>
      </c>
      <c r="D151" s="3">
        <v>9</v>
      </c>
      <c r="E151" s="3">
        <v>9</v>
      </c>
      <c r="F151" s="3">
        <v>18</v>
      </c>
      <c r="G151" s="23">
        <v>9.75</v>
      </c>
      <c r="H151" s="23">
        <v>9.3000000000000007</v>
      </c>
      <c r="I151" s="35">
        <v>8.8000000000000007</v>
      </c>
      <c r="J151" s="23" t="s">
        <v>128</v>
      </c>
      <c r="K151" s="26">
        <v>3.0030000000000001E-2</v>
      </c>
      <c r="L151" s="26">
        <v>2.2020000000000001E-2</v>
      </c>
      <c r="M151" s="26">
        <v>1.4789999999999999E-2</v>
      </c>
      <c r="N151" s="26">
        <v>3.0030000000000001E-2</v>
      </c>
      <c r="O151" s="26">
        <v>2.2020000000000001E-2</v>
      </c>
      <c r="P151" s="26">
        <v>1.4789999999999999E-2</v>
      </c>
      <c r="Q151" s="26">
        <v>0.873</v>
      </c>
      <c r="R151" s="26">
        <v>1.2E-2</v>
      </c>
      <c r="S151" s="26">
        <v>2.4E-2</v>
      </c>
      <c r="T151" s="26">
        <v>1.2E-2</v>
      </c>
      <c r="U151" s="26">
        <v>7.2999999999999995E-2</v>
      </c>
      <c r="V151" s="26">
        <v>6.0000000000000001E-3</v>
      </c>
      <c r="W151" s="160">
        <v>82</v>
      </c>
      <c r="X151" s="26">
        <v>0.82299999999999995</v>
      </c>
      <c r="Y151" s="52">
        <v>144</v>
      </c>
      <c r="Z151" s="26">
        <v>1.0999999999999999E-2</v>
      </c>
      <c r="AA151" s="26">
        <v>2.3E-2</v>
      </c>
      <c r="AB151" s="26">
        <v>1.0999999999999999E-2</v>
      </c>
      <c r="AC151" s="26">
        <v>6.9000000000000006E-2</v>
      </c>
      <c r="AD151" s="26">
        <v>9.1999999999999998E-2</v>
      </c>
      <c r="AE151" s="26">
        <v>6.0000000000000001E-3</v>
      </c>
      <c r="AF151" s="51" t="s">
        <v>129</v>
      </c>
      <c r="AG151" s="51" t="s">
        <v>130</v>
      </c>
      <c r="AH151" s="23" t="s">
        <v>146</v>
      </c>
      <c r="AI151" s="23">
        <v>12</v>
      </c>
      <c r="AJ151" s="23">
        <v>64</v>
      </c>
      <c r="AK151" s="23">
        <v>10</v>
      </c>
      <c r="AL151" s="3" t="s">
        <v>132</v>
      </c>
      <c r="AM151" s="3">
        <v>166</v>
      </c>
      <c r="AN151" s="23">
        <v>95</v>
      </c>
      <c r="AO151" s="3">
        <v>47</v>
      </c>
      <c r="AP151" s="23">
        <v>82</v>
      </c>
      <c r="AQ151" s="3">
        <v>37</v>
      </c>
      <c r="AR151" s="23">
        <v>93</v>
      </c>
      <c r="AS151" s="3">
        <v>37</v>
      </c>
      <c r="AT151" s="23">
        <v>93</v>
      </c>
      <c r="AU151" s="3">
        <v>70</v>
      </c>
      <c r="AV151" s="23">
        <v>88</v>
      </c>
      <c r="AW151" s="3">
        <v>79</v>
      </c>
      <c r="AX151" s="23">
        <v>99</v>
      </c>
      <c r="AY151" s="30">
        <f t="shared" si="22"/>
        <v>3.5013346661069313</v>
      </c>
      <c r="AZ151" s="31">
        <f t="shared" si="20"/>
        <v>3.2950285353870701</v>
      </c>
      <c r="BA151" s="3">
        <v>28</v>
      </c>
      <c r="BB151" s="23">
        <v>93</v>
      </c>
      <c r="BC151" s="3">
        <v>15</v>
      </c>
      <c r="BD151" s="23">
        <v>100</v>
      </c>
      <c r="BE151" s="3">
        <v>13</v>
      </c>
      <c r="BF151" s="23">
        <v>87</v>
      </c>
      <c r="BG151" s="3">
        <v>28</v>
      </c>
      <c r="BH151" s="23">
        <v>93</v>
      </c>
      <c r="BI151" s="3">
        <v>28</v>
      </c>
      <c r="BJ151" s="23">
        <v>93</v>
      </c>
      <c r="BK151" s="3">
        <v>48</v>
      </c>
      <c r="BL151" s="23">
        <v>75</v>
      </c>
      <c r="BM151" s="3">
        <v>157</v>
      </c>
      <c r="BN151" s="3">
        <v>81</v>
      </c>
      <c r="BO151" s="21">
        <v>77</v>
      </c>
      <c r="BP151" s="3">
        <v>46</v>
      </c>
      <c r="BQ151" s="23">
        <v>88</v>
      </c>
      <c r="BR151" s="3" t="s">
        <v>133</v>
      </c>
      <c r="BS151" s="3">
        <v>4</v>
      </c>
      <c r="BT151" s="3">
        <v>36</v>
      </c>
      <c r="BU151" s="23">
        <v>90</v>
      </c>
      <c r="BV151" s="170">
        <v>5.23</v>
      </c>
      <c r="BW151" s="3">
        <v>37</v>
      </c>
      <c r="BX151" s="23">
        <v>93</v>
      </c>
      <c r="BY151" s="23">
        <v>6.5</v>
      </c>
      <c r="BZ151" s="3" t="s">
        <v>134</v>
      </c>
      <c r="CA151" s="3" t="s">
        <v>134</v>
      </c>
      <c r="CB151" s="103">
        <v>1</v>
      </c>
      <c r="CC151" s="103">
        <v>1E-3</v>
      </c>
      <c r="CD151" s="3">
        <v>99</v>
      </c>
      <c r="CE151" s="3">
        <v>99</v>
      </c>
      <c r="CF151" s="3">
        <v>99</v>
      </c>
      <c r="CG151" s="3">
        <v>100</v>
      </c>
      <c r="CH151" s="1" t="s">
        <v>140</v>
      </c>
      <c r="CI151" s="3" t="s">
        <v>136</v>
      </c>
      <c r="CJ151" s="49" t="s">
        <v>195</v>
      </c>
      <c r="CK151" s="49" t="s">
        <v>142</v>
      </c>
      <c r="CL151" s="1" t="s">
        <v>151</v>
      </c>
      <c r="CM151" s="3" t="s">
        <v>209</v>
      </c>
      <c r="CN151" s="3" t="s">
        <v>136</v>
      </c>
      <c r="CO151" s="3" t="s">
        <v>161</v>
      </c>
      <c r="CP151" s="3" t="s">
        <v>161</v>
      </c>
      <c r="CQ151" s="3">
        <v>1</v>
      </c>
      <c r="CS151" s="1" t="s">
        <v>255</v>
      </c>
      <c r="CT151" s="3" t="s">
        <v>140</v>
      </c>
      <c r="CU151" s="3">
        <v>95</v>
      </c>
      <c r="CV151" s="3">
        <v>100</v>
      </c>
      <c r="CW151" s="3">
        <v>100</v>
      </c>
    </row>
    <row r="152" spans="1:192" ht="15.75" customHeight="1">
      <c r="A152" s="190">
        <v>20121</v>
      </c>
      <c r="B152" s="23" t="s">
        <v>127</v>
      </c>
      <c r="C152" s="1">
        <v>81.8</v>
      </c>
      <c r="D152" s="1">
        <v>9</v>
      </c>
      <c r="E152" s="1">
        <v>9</v>
      </c>
      <c r="F152" s="1">
        <v>18</v>
      </c>
      <c r="G152" s="1">
        <v>8.1</v>
      </c>
      <c r="H152" s="1">
        <v>6.3</v>
      </c>
      <c r="I152" s="15">
        <v>8.5</v>
      </c>
      <c r="J152" s="1" t="s">
        <v>145</v>
      </c>
      <c r="K152" s="26">
        <v>4.9390000000000003E-2</v>
      </c>
      <c r="L152" s="26">
        <v>1.4200000000000001E-2</v>
      </c>
      <c r="M152" s="26">
        <v>6.79E-3</v>
      </c>
      <c r="N152" s="27">
        <v>4.9390000000000003E-2</v>
      </c>
      <c r="O152" s="27">
        <v>1.4200000000000001E-2</v>
      </c>
      <c r="P152" s="27">
        <v>6.79E-3</v>
      </c>
      <c r="Q152" s="27">
        <v>0.86099999999999999</v>
      </c>
      <c r="R152" s="27">
        <v>1.2E-2</v>
      </c>
      <c r="S152" s="27">
        <v>1.7999999999999999E-2</v>
      </c>
      <c r="T152" s="27">
        <v>1.7999999999999999E-2</v>
      </c>
      <c r="U152" s="27">
        <v>0.09</v>
      </c>
      <c r="V152" s="27">
        <v>0</v>
      </c>
      <c r="W152" s="28">
        <v>82</v>
      </c>
      <c r="X152" s="27">
        <v>0.81714285714285717</v>
      </c>
      <c r="Y152" s="52">
        <v>143</v>
      </c>
      <c r="Z152" s="18">
        <v>1.0999999999999999E-2</v>
      </c>
      <c r="AA152" s="18">
        <v>1.7000000000000001E-2</v>
      </c>
      <c r="AB152" s="18">
        <v>1.7000000000000001E-2</v>
      </c>
      <c r="AC152" s="18">
        <v>8.5999999999999993E-2</v>
      </c>
      <c r="AD152" s="27">
        <f t="shared" ref="AD152:AD168" si="23">AC152+AA152</f>
        <v>0.10299999999999999</v>
      </c>
      <c r="AE152" s="18">
        <v>0</v>
      </c>
      <c r="AF152" s="1" t="s">
        <v>129</v>
      </c>
      <c r="AG152" s="1" t="s">
        <v>130</v>
      </c>
      <c r="AH152" s="1" t="s">
        <v>131</v>
      </c>
      <c r="AI152" s="1">
        <v>12</v>
      </c>
      <c r="AJ152" s="1">
        <v>54</v>
      </c>
      <c r="AK152" s="1">
        <v>18</v>
      </c>
      <c r="AL152" s="1" t="s">
        <v>132</v>
      </c>
      <c r="AM152" s="1">
        <v>150</v>
      </c>
      <c r="AN152" s="1">
        <v>86</v>
      </c>
      <c r="AO152" s="1">
        <v>15</v>
      </c>
      <c r="AP152" s="3">
        <v>25</v>
      </c>
      <c r="AQ152" s="1">
        <v>30</v>
      </c>
      <c r="AR152" s="1">
        <v>75</v>
      </c>
      <c r="AS152" s="1">
        <v>20</v>
      </c>
      <c r="AT152" s="1">
        <v>50</v>
      </c>
      <c r="AU152" s="1">
        <v>63</v>
      </c>
      <c r="AV152" s="1">
        <v>79</v>
      </c>
      <c r="AW152" s="1">
        <v>55</v>
      </c>
      <c r="AX152" s="1">
        <v>69</v>
      </c>
      <c r="AY152" s="30">
        <f t="shared" si="22"/>
        <v>1.302271594365694</v>
      </c>
      <c r="AZ152" s="31">
        <f t="shared" si="20"/>
        <v>1.2832723776437904</v>
      </c>
      <c r="BA152" s="1">
        <v>27</v>
      </c>
      <c r="BB152" s="1">
        <v>90</v>
      </c>
      <c r="BC152" s="1">
        <v>12</v>
      </c>
      <c r="BD152" s="1">
        <v>80</v>
      </c>
      <c r="BE152" s="1">
        <v>15</v>
      </c>
      <c r="BF152" s="1">
        <v>100</v>
      </c>
      <c r="BG152" s="1">
        <v>15</v>
      </c>
      <c r="BH152" s="1">
        <v>50</v>
      </c>
      <c r="BI152" s="1">
        <v>24</v>
      </c>
      <c r="BJ152" s="1">
        <v>80</v>
      </c>
      <c r="BK152" s="1">
        <v>51</v>
      </c>
      <c r="BL152" s="3">
        <v>80</v>
      </c>
      <c r="BM152" s="1">
        <v>136</v>
      </c>
      <c r="BN152" s="3">
        <v>71</v>
      </c>
      <c r="BO152" s="21">
        <f t="shared" ref="BO152:BO168" si="24">(BM152/204)*100</f>
        <v>66.666666666666657</v>
      </c>
      <c r="BP152" s="1">
        <v>47</v>
      </c>
      <c r="BQ152" s="3">
        <v>90</v>
      </c>
      <c r="BR152" s="3" t="s">
        <v>133</v>
      </c>
      <c r="BS152" s="3">
        <v>2.4</v>
      </c>
      <c r="BT152" s="1">
        <v>26</v>
      </c>
      <c r="BU152" s="3">
        <v>65</v>
      </c>
      <c r="BV152" s="3">
        <v>2</v>
      </c>
      <c r="BW152" s="1">
        <v>35</v>
      </c>
      <c r="BX152" s="3">
        <v>88</v>
      </c>
      <c r="BY152" s="3">
        <v>2</v>
      </c>
      <c r="BZ152" s="23" t="s">
        <v>211</v>
      </c>
      <c r="CA152" s="23" t="s">
        <v>147</v>
      </c>
      <c r="CB152" s="33">
        <v>22</v>
      </c>
      <c r="CC152" s="34">
        <v>0.12571428571428572</v>
      </c>
      <c r="CD152" s="3">
        <v>77</v>
      </c>
      <c r="CE152" s="3">
        <v>95</v>
      </c>
      <c r="CF152" s="3">
        <v>82</v>
      </c>
      <c r="CG152" s="1">
        <v>100</v>
      </c>
      <c r="CH152" s="1" t="s">
        <v>140</v>
      </c>
      <c r="CI152" s="3" t="s">
        <v>136</v>
      </c>
      <c r="CJ152" s="49" t="s">
        <v>195</v>
      </c>
      <c r="CK152" s="49" t="s">
        <v>142</v>
      </c>
      <c r="CL152" s="49" t="s">
        <v>312</v>
      </c>
      <c r="CM152" s="3" t="s">
        <v>137</v>
      </c>
      <c r="CN152" s="3" t="s">
        <v>188</v>
      </c>
      <c r="CO152" s="171"/>
      <c r="CP152" s="171"/>
      <c r="CQ152" s="171"/>
      <c r="CR152" s="1" t="s">
        <v>138</v>
      </c>
      <c r="CS152" s="1" t="s">
        <v>138</v>
      </c>
      <c r="CT152" s="1" t="s">
        <v>138</v>
      </c>
      <c r="CU152" s="1" t="s">
        <v>138</v>
      </c>
      <c r="CV152" s="1" t="s">
        <v>138</v>
      </c>
      <c r="CW152" s="1" t="s">
        <v>138</v>
      </c>
    </row>
    <row r="153" spans="1:192" ht="60">
      <c r="A153" s="190">
        <v>20122</v>
      </c>
      <c r="B153" s="51" t="s">
        <v>196</v>
      </c>
      <c r="C153" s="3">
        <v>91.5</v>
      </c>
      <c r="D153" s="1">
        <v>9</v>
      </c>
      <c r="E153" s="3">
        <v>9</v>
      </c>
      <c r="F153" s="1">
        <v>18</v>
      </c>
      <c r="G153" s="3">
        <v>9.5</v>
      </c>
      <c r="H153" s="1">
        <v>8.5</v>
      </c>
      <c r="I153" s="15">
        <v>9.6999999999999993</v>
      </c>
      <c r="J153" s="3" t="s">
        <v>128</v>
      </c>
      <c r="K153" s="27">
        <v>3.5470000000000002E-2</v>
      </c>
      <c r="L153" s="27">
        <v>1.915E-2</v>
      </c>
      <c r="M153" s="27">
        <v>1.3690000000000001E-2</v>
      </c>
      <c r="N153" s="27">
        <v>3.5470000000000002E-2</v>
      </c>
      <c r="O153" s="27">
        <v>1.915E-2</v>
      </c>
      <c r="P153" s="27">
        <v>1.3690000000000001E-2</v>
      </c>
      <c r="Q153" s="27">
        <v>0.86799999999999999</v>
      </c>
      <c r="R153" s="27">
        <v>1.0999999999999999E-2</v>
      </c>
      <c r="S153" s="27">
        <v>0.04</v>
      </c>
      <c r="T153" s="27">
        <v>0</v>
      </c>
      <c r="U153" s="27">
        <v>0.08</v>
      </c>
      <c r="V153" s="27">
        <v>0</v>
      </c>
      <c r="W153" s="52">
        <v>86</v>
      </c>
      <c r="X153" s="27">
        <v>0.86299999999999999</v>
      </c>
      <c r="Y153" s="52">
        <v>151</v>
      </c>
      <c r="Z153" s="27">
        <v>1.0999999999999999E-2</v>
      </c>
      <c r="AA153" s="27">
        <v>0.04</v>
      </c>
      <c r="AB153" s="27">
        <v>0</v>
      </c>
      <c r="AC153" s="27">
        <v>0.08</v>
      </c>
      <c r="AD153" s="27">
        <f t="shared" si="23"/>
        <v>0.12</v>
      </c>
      <c r="AE153" s="27">
        <v>0</v>
      </c>
      <c r="AF153" s="1" t="s">
        <v>129</v>
      </c>
      <c r="AG153" s="3" t="s">
        <v>130</v>
      </c>
      <c r="AH153" s="3" t="s">
        <v>146</v>
      </c>
      <c r="AI153" s="3">
        <v>14</v>
      </c>
      <c r="AJ153" s="3">
        <v>59</v>
      </c>
      <c r="AK153" s="3">
        <v>7</v>
      </c>
      <c r="AL153" s="3" t="s">
        <v>132</v>
      </c>
      <c r="AM153" s="1">
        <v>168</v>
      </c>
      <c r="AN153" s="3">
        <v>96</v>
      </c>
      <c r="AO153" s="1">
        <v>31</v>
      </c>
      <c r="AP153" s="3">
        <v>52</v>
      </c>
      <c r="AQ153" s="50">
        <v>37</v>
      </c>
      <c r="AR153" s="3">
        <v>93</v>
      </c>
      <c r="AS153" s="1">
        <v>35</v>
      </c>
      <c r="AT153" s="3">
        <v>88</v>
      </c>
      <c r="AU153" s="1">
        <v>72</v>
      </c>
      <c r="AV153" s="3">
        <v>90</v>
      </c>
      <c r="AW153" s="1">
        <v>73</v>
      </c>
      <c r="AX153" s="3">
        <v>91</v>
      </c>
      <c r="AY153" s="30">
        <f t="shared" si="22"/>
        <v>2.6223065992348165</v>
      </c>
      <c r="AZ153" s="31">
        <f t="shared" si="20"/>
        <v>2.5641189668285032</v>
      </c>
      <c r="BA153" s="1">
        <v>30</v>
      </c>
      <c r="BB153" s="3">
        <v>100</v>
      </c>
      <c r="BC153" s="1">
        <v>15</v>
      </c>
      <c r="BD153" s="3">
        <v>100</v>
      </c>
      <c r="BE153" s="1">
        <v>15</v>
      </c>
      <c r="BF153" s="3">
        <v>100</v>
      </c>
      <c r="BG153" s="1">
        <v>26</v>
      </c>
      <c r="BH153" s="3">
        <v>87</v>
      </c>
      <c r="BI153" s="1">
        <v>30</v>
      </c>
      <c r="BJ153" s="3">
        <v>100</v>
      </c>
      <c r="BK153" s="1">
        <v>56</v>
      </c>
      <c r="BL153" s="3">
        <v>88</v>
      </c>
      <c r="BM153" s="1">
        <v>190</v>
      </c>
      <c r="BN153" s="3">
        <v>102</v>
      </c>
      <c r="BO153" s="21">
        <f t="shared" si="24"/>
        <v>93.137254901960787</v>
      </c>
      <c r="BP153" s="1">
        <v>52</v>
      </c>
      <c r="BQ153" s="3">
        <v>100</v>
      </c>
      <c r="BR153" s="3" t="s">
        <v>133</v>
      </c>
      <c r="BS153" s="3">
        <v>3</v>
      </c>
      <c r="BT153" s="1">
        <v>38</v>
      </c>
      <c r="BU153" s="3">
        <v>95</v>
      </c>
      <c r="BV153" s="3">
        <v>4.4400000000000004</v>
      </c>
      <c r="BW153" s="1">
        <v>39</v>
      </c>
      <c r="BX153" s="3">
        <v>98</v>
      </c>
      <c r="BY153" s="3">
        <v>3.67</v>
      </c>
      <c r="BZ153" s="3" t="s">
        <v>134</v>
      </c>
      <c r="CA153" s="3" t="s">
        <v>134</v>
      </c>
      <c r="CB153" s="33">
        <v>9</v>
      </c>
      <c r="CC153" s="34">
        <v>5.1428571428571428E-2</v>
      </c>
      <c r="CD153" s="3">
        <v>99</v>
      </c>
      <c r="CE153" s="3">
        <v>100</v>
      </c>
      <c r="CF153" s="3">
        <v>99</v>
      </c>
      <c r="CG153" s="1">
        <v>100</v>
      </c>
      <c r="CH153" s="5" t="s">
        <v>140</v>
      </c>
      <c r="CI153" s="3" t="s">
        <v>136</v>
      </c>
      <c r="CJ153" s="49" t="s">
        <v>195</v>
      </c>
      <c r="CK153" s="49" t="s">
        <v>142</v>
      </c>
      <c r="CL153" s="1" t="s">
        <v>151</v>
      </c>
      <c r="CM153" s="3" t="s">
        <v>168</v>
      </c>
      <c r="CN153" s="3" t="s">
        <v>188</v>
      </c>
      <c r="CO153" s="171"/>
      <c r="CP153" s="171"/>
      <c r="CQ153" s="171"/>
      <c r="CR153" s="1" t="s">
        <v>138</v>
      </c>
      <c r="CS153" s="1" t="s">
        <v>138</v>
      </c>
      <c r="CT153" s="1" t="s">
        <v>138</v>
      </c>
      <c r="CU153" s="1" t="s">
        <v>138</v>
      </c>
      <c r="CV153" s="1" t="s">
        <v>138</v>
      </c>
      <c r="CW153" s="1" t="s">
        <v>138</v>
      </c>
    </row>
    <row r="154" spans="1:192" s="158" customFormat="1" ht="15.75" customHeight="1">
      <c r="A154" s="190">
        <v>20123</v>
      </c>
      <c r="B154" s="51" t="s">
        <v>127</v>
      </c>
      <c r="C154" s="3">
        <v>56.1</v>
      </c>
      <c r="D154" s="1">
        <v>6</v>
      </c>
      <c r="E154" s="3">
        <v>4</v>
      </c>
      <c r="F154" s="1">
        <v>10</v>
      </c>
      <c r="G154" s="3">
        <v>6.85</v>
      </c>
      <c r="H154" s="1">
        <v>6.1</v>
      </c>
      <c r="I154" s="15">
        <v>5.0999999999999996</v>
      </c>
      <c r="J154" s="3" t="s">
        <v>210</v>
      </c>
      <c r="K154" s="27">
        <v>2.249E-2</v>
      </c>
      <c r="L154" s="27">
        <v>2.3220000000000001E-2</v>
      </c>
      <c r="M154" s="27">
        <v>1.2109999999999999E-2</v>
      </c>
      <c r="N154" s="27">
        <v>2.249E-2</v>
      </c>
      <c r="O154" s="27">
        <v>2.3220000000000001E-2</v>
      </c>
      <c r="P154" s="27">
        <v>1.2109999999999999E-2</v>
      </c>
      <c r="Q154" s="27">
        <v>0.76300000000000001</v>
      </c>
      <c r="R154" s="27">
        <v>5.8000000000000003E-2</v>
      </c>
      <c r="S154" s="27">
        <v>3.2000000000000001E-2</v>
      </c>
      <c r="T154" s="27">
        <v>3.2000000000000001E-2</v>
      </c>
      <c r="U154" s="27">
        <v>9.6000000000000002E-2</v>
      </c>
      <c r="V154" s="27">
        <v>1.9E-2</v>
      </c>
      <c r="W154" s="52">
        <v>68</v>
      </c>
      <c r="X154" s="27">
        <v>0.68</v>
      </c>
      <c r="Y154" s="52">
        <v>119</v>
      </c>
      <c r="Z154" s="27">
        <v>5.0999999999999997E-2</v>
      </c>
      <c r="AA154" s="27">
        <v>2.9000000000000001E-2</v>
      </c>
      <c r="AB154" s="27">
        <v>2.9000000000000001E-2</v>
      </c>
      <c r="AC154" s="27">
        <v>8.5999999999999993E-2</v>
      </c>
      <c r="AD154" s="27">
        <f t="shared" si="23"/>
        <v>0.11499999999999999</v>
      </c>
      <c r="AE154" s="27">
        <v>1.7000000000000001E-2</v>
      </c>
      <c r="AF154" s="1" t="s">
        <v>167</v>
      </c>
      <c r="AG154" s="3" t="s">
        <v>130</v>
      </c>
      <c r="AH154" s="3" t="s">
        <v>146</v>
      </c>
      <c r="AI154" s="3">
        <v>12</v>
      </c>
      <c r="AJ154" s="3">
        <v>79</v>
      </c>
      <c r="AK154" s="3">
        <v>51</v>
      </c>
      <c r="AL154" s="3" t="s">
        <v>132</v>
      </c>
      <c r="AM154" s="1">
        <v>145</v>
      </c>
      <c r="AN154" s="3">
        <v>83</v>
      </c>
      <c r="AO154" s="1">
        <v>14</v>
      </c>
      <c r="AP154" s="3">
        <v>23</v>
      </c>
      <c r="AQ154" s="1">
        <v>30</v>
      </c>
      <c r="AR154" s="3">
        <v>75</v>
      </c>
      <c r="AS154" s="1">
        <v>24</v>
      </c>
      <c r="AT154" s="3">
        <v>60</v>
      </c>
      <c r="AU154" s="1">
        <v>74</v>
      </c>
      <c r="AV154" s="3">
        <v>93</v>
      </c>
      <c r="AW154" s="1">
        <v>74</v>
      </c>
      <c r="AX154" s="3">
        <v>93</v>
      </c>
      <c r="AY154" s="30">
        <f t="shared" si="22"/>
        <v>2.9515820563583421</v>
      </c>
      <c r="AZ154" s="31">
        <f t="shared" si="20"/>
        <v>2.8747090449026191</v>
      </c>
      <c r="BA154" s="1">
        <v>15</v>
      </c>
      <c r="BB154" s="3">
        <v>50</v>
      </c>
      <c r="BC154" s="1">
        <v>9</v>
      </c>
      <c r="BD154" s="3">
        <v>60</v>
      </c>
      <c r="BE154" s="1">
        <v>6</v>
      </c>
      <c r="BF154" s="3">
        <v>40</v>
      </c>
      <c r="BG154" s="1">
        <v>11</v>
      </c>
      <c r="BH154" s="3">
        <v>37</v>
      </c>
      <c r="BI154" s="1">
        <v>25</v>
      </c>
      <c r="BJ154" s="3">
        <v>83</v>
      </c>
      <c r="BK154" s="1">
        <v>16</v>
      </c>
      <c r="BL154" s="3">
        <v>25</v>
      </c>
      <c r="BM154" s="1">
        <v>145</v>
      </c>
      <c r="BN154" s="3">
        <v>78</v>
      </c>
      <c r="BO154" s="21">
        <f t="shared" si="24"/>
        <v>71.078431372549019</v>
      </c>
      <c r="BP154" s="1">
        <v>31</v>
      </c>
      <c r="BQ154" s="3">
        <v>60</v>
      </c>
      <c r="BR154" s="3" t="s">
        <v>133</v>
      </c>
      <c r="BS154" s="3">
        <v>1</v>
      </c>
      <c r="BT154" s="1">
        <v>26</v>
      </c>
      <c r="BU154" s="3">
        <v>65</v>
      </c>
      <c r="BV154" s="3">
        <v>0.5</v>
      </c>
      <c r="BW154" s="1">
        <v>35</v>
      </c>
      <c r="BX154" s="3">
        <v>88</v>
      </c>
      <c r="BY154" s="3">
        <v>1.57</v>
      </c>
      <c r="BZ154" s="3" t="s">
        <v>194</v>
      </c>
      <c r="CA154" s="23" t="s">
        <v>147</v>
      </c>
      <c r="CB154" s="33">
        <v>11</v>
      </c>
      <c r="CC154" s="34">
        <v>6.2857142857142861E-2</v>
      </c>
      <c r="CD154" s="3">
        <v>79</v>
      </c>
      <c r="CE154" s="3">
        <v>87</v>
      </c>
      <c r="CF154" s="3">
        <v>90</v>
      </c>
      <c r="CG154" s="1">
        <v>100</v>
      </c>
      <c r="CH154" s="5" t="s">
        <v>153</v>
      </c>
      <c r="CI154" s="3" t="s">
        <v>136</v>
      </c>
      <c r="CJ154" s="3" t="s">
        <v>136</v>
      </c>
      <c r="CK154" s="49" t="s">
        <v>142</v>
      </c>
      <c r="CL154" s="3" t="s">
        <v>151</v>
      </c>
      <c r="CM154" s="3" t="s">
        <v>137</v>
      </c>
      <c r="CN154" s="3" t="s">
        <v>188</v>
      </c>
      <c r="CO154" s="171"/>
      <c r="CP154" s="171"/>
      <c r="CQ154" s="171"/>
      <c r="CR154" s="1" t="s">
        <v>138</v>
      </c>
      <c r="CS154" s="1" t="s">
        <v>138</v>
      </c>
      <c r="CT154" s="1" t="s">
        <v>138</v>
      </c>
      <c r="CU154" s="1" t="s">
        <v>138</v>
      </c>
      <c r="CV154" s="1" t="s">
        <v>138</v>
      </c>
      <c r="CW154" s="1" t="s">
        <v>138</v>
      </c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5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  <c r="FZ154" s="3"/>
      <c r="GA154" s="3"/>
      <c r="GB154" s="3"/>
      <c r="GC154" s="3"/>
      <c r="GD154" s="3"/>
      <c r="GE154" s="3"/>
      <c r="GF154" s="3"/>
      <c r="GG154" s="3"/>
      <c r="GH154" s="3"/>
      <c r="GI154" s="3"/>
      <c r="GJ154" s="3"/>
    </row>
    <row r="155" spans="1:192" ht="15.75" customHeight="1">
      <c r="A155" s="190">
        <v>20124</v>
      </c>
      <c r="B155" s="51" t="s">
        <v>166</v>
      </c>
      <c r="C155" s="3">
        <v>71.3</v>
      </c>
      <c r="D155" s="1">
        <v>9</v>
      </c>
      <c r="E155" s="3">
        <v>8</v>
      </c>
      <c r="F155" s="1">
        <v>17</v>
      </c>
      <c r="G155" s="3">
        <v>8.9499999999999993</v>
      </c>
      <c r="H155" s="1">
        <v>5.9</v>
      </c>
      <c r="I155" s="15">
        <v>3.8</v>
      </c>
      <c r="J155" s="1" t="s">
        <v>145</v>
      </c>
      <c r="K155" s="27">
        <v>5.3200000000000001E-3</v>
      </c>
      <c r="L155" s="27">
        <v>2.8709999999999999E-2</v>
      </c>
      <c r="M155" s="27">
        <v>4.4049999999999999E-2</v>
      </c>
      <c r="N155" s="27">
        <v>5.3200000000000001E-3</v>
      </c>
      <c r="O155" s="27">
        <v>2.8709999999999999E-2</v>
      </c>
      <c r="P155" s="27">
        <v>4.4049999999999999E-2</v>
      </c>
      <c r="Q155" s="27">
        <v>0.28299999999999997</v>
      </c>
      <c r="R155" s="27">
        <v>0.183</v>
      </c>
      <c r="S155" s="27">
        <v>0.25</v>
      </c>
      <c r="T155" s="27">
        <v>8.3000000000000004E-2</v>
      </c>
      <c r="U155" s="27">
        <v>0.05</v>
      </c>
      <c r="V155" s="27">
        <v>0.15</v>
      </c>
      <c r="W155" s="52">
        <v>10</v>
      </c>
      <c r="X155" s="18">
        <v>9.0999999999999998E-2</v>
      </c>
      <c r="Y155" s="28">
        <v>16</v>
      </c>
      <c r="Z155" s="27">
        <v>6.3E-2</v>
      </c>
      <c r="AA155" s="27">
        <v>8.5999999999999993E-2</v>
      </c>
      <c r="AB155" s="27">
        <v>2.9000000000000001E-2</v>
      </c>
      <c r="AC155" s="27">
        <v>1.7000000000000001E-2</v>
      </c>
      <c r="AD155" s="27">
        <f t="shared" si="23"/>
        <v>0.10299999999999999</v>
      </c>
      <c r="AE155" s="27">
        <v>5.0999999999999997E-2</v>
      </c>
      <c r="AF155" s="1" t="s">
        <v>167</v>
      </c>
      <c r="AG155" s="3" t="s">
        <v>130</v>
      </c>
      <c r="AH155" s="3" t="s">
        <v>146</v>
      </c>
      <c r="AI155" s="3">
        <v>12</v>
      </c>
      <c r="AJ155" s="3">
        <v>72</v>
      </c>
      <c r="AK155" s="3">
        <v>29</v>
      </c>
      <c r="AL155" s="3" t="s">
        <v>132</v>
      </c>
      <c r="AM155" s="1">
        <v>142</v>
      </c>
      <c r="AN155" s="3">
        <v>81</v>
      </c>
      <c r="AO155" s="1">
        <v>20</v>
      </c>
      <c r="AP155" s="3">
        <v>33</v>
      </c>
      <c r="AQ155" s="1">
        <v>37</v>
      </c>
      <c r="AR155" s="3">
        <v>93</v>
      </c>
      <c r="AS155" s="1">
        <v>34</v>
      </c>
      <c r="AT155" s="3">
        <v>85</v>
      </c>
      <c r="AU155" s="1">
        <v>67</v>
      </c>
      <c r="AV155" s="3">
        <v>84</v>
      </c>
      <c r="AW155" s="1">
        <v>74</v>
      </c>
      <c r="AX155" s="3">
        <v>93</v>
      </c>
      <c r="AY155" s="30">
        <f t="shared" si="22"/>
        <v>2.4702489113889206</v>
      </c>
      <c r="AZ155" s="31">
        <f t="shared" si="20"/>
        <v>2.4147062313194994</v>
      </c>
      <c r="BA155" s="1">
        <v>20</v>
      </c>
      <c r="BB155" s="3">
        <v>66</v>
      </c>
      <c r="BC155" s="1">
        <v>9</v>
      </c>
      <c r="BD155" s="3">
        <v>60</v>
      </c>
      <c r="BE155" s="1">
        <v>11</v>
      </c>
      <c r="BF155" s="3">
        <v>73</v>
      </c>
      <c r="BG155" s="1">
        <v>23</v>
      </c>
      <c r="BH155" s="3">
        <v>77</v>
      </c>
      <c r="BI155" s="1">
        <v>29</v>
      </c>
      <c r="BJ155" s="3">
        <v>97</v>
      </c>
      <c r="BK155" s="1">
        <v>51</v>
      </c>
      <c r="BL155" s="3">
        <v>80</v>
      </c>
      <c r="BM155" s="1">
        <v>156</v>
      </c>
      <c r="BN155" s="3">
        <v>83</v>
      </c>
      <c r="BO155" s="21">
        <f t="shared" si="24"/>
        <v>76.470588235294116</v>
      </c>
      <c r="BP155" s="1">
        <v>50</v>
      </c>
      <c r="BQ155" s="3">
        <v>96</v>
      </c>
      <c r="BR155" s="3" t="s">
        <v>133</v>
      </c>
      <c r="BS155" s="3">
        <v>2</v>
      </c>
      <c r="BT155" s="1">
        <v>27</v>
      </c>
      <c r="BU155" s="3">
        <v>68</v>
      </c>
      <c r="BV155" s="3">
        <v>0.5</v>
      </c>
      <c r="BW155" s="1">
        <v>36</v>
      </c>
      <c r="BX155" s="3">
        <v>90</v>
      </c>
      <c r="BY155" s="3">
        <v>1.5</v>
      </c>
      <c r="BZ155" s="3" t="s">
        <v>134</v>
      </c>
      <c r="CA155" s="3" t="s">
        <v>134</v>
      </c>
      <c r="CB155" s="33">
        <v>21</v>
      </c>
      <c r="CC155" s="34">
        <v>0.12</v>
      </c>
      <c r="CD155" s="3">
        <v>86</v>
      </c>
      <c r="CE155" s="3">
        <v>86</v>
      </c>
      <c r="CF155" s="3">
        <v>97</v>
      </c>
      <c r="CG155" s="1">
        <v>90</v>
      </c>
      <c r="CH155" s="5" t="s">
        <v>153</v>
      </c>
      <c r="CI155" s="3" t="s">
        <v>136</v>
      </c>
      <c r="CJ155" s="3" t="s">
        <v>136</v>
      </c>
      <c r="CK155" s="49" t="s">
        <v>142</v>
      </c>
      <c r="CL155" s="1" t="s">
        <v>151</v>
      </c>
      <c r="CM155" s="3" t="s">
        <v>250</v>
      </c>
      <c r="CN155" s="3" t="s">
        <v>188</v>
      </c>
      <c r="CO155" s="171"/>
      <c r="CP155" s="171"/>
      <c r="CQ155" s="171"/>
      <c r="CR155" s="1" t="s">
        <v>138</v>
      </c>
      <c r="CS155" s="1" t="s">
        <v>138</v>
      </c>
      <c r="CT155" s="1" t="s">
        <v>138</v>
      </c>
      <c r="CU155" s="1" t="s">
        <v>138</v>
      </c>
      <c r="CV155" s="1" t="s">
        <v>138</v>
      </c>
      <c r="CW155" s="1" t="s">
        <v>138</v>
      </c>
    </row>
    <row r="156" spans="1:192" ht="15.75" customHeight="1">
      <c r="A156" s="190">
        <v>20125</v>
      </c>
      <c r="B156" s="51" t="s">
        <v>166</v>
      </c>
      <c r="C156" s="1">
        <v>67.3</v>
      </c>
      <c r="D156" s="1">
        <v>7</v>
      </c>
      <c r="E156" s="1">
        <v>5</v>
      </c>
      <c r="F156" s="1">
        <v>12</v>
      </c>
      <c r="G156" s="1">
        <v>8.85</v>
      </c>
      <c r="H156" s="1">
        <v>8</v>
      </c>
      <c r="I156" s="1">
        <v>4.8</v>
      </c>
      <c r="J156" s="1" t="s">
        <v>145</v>
      </c>
      <c r="K156" s="26">
        <v>2.1579999999999998E-2</v>
      </c>
      <c r="L156" s="26">
        <v>2.138E-2</v>
      </c>
      <c r="M156" s="26">
        <v>2.6589999999999999E-2</v>
      </c>
      <c r="N156" s="27">
        <v>2.1579999999999998E-2</v>
      </c>
      <c r="O156" s="27">
        <v>2.138E-2</v>
      </c>
      <c r="P156" s="27">
        <v>2.6589999999999999E-2</v>
      </c>
      <c r="Q156" s="27">
        <v>0.73499999999999999</v>
      </c>
      <c r="R156" s="27">
        <v>4.1000000000000002E-2</v>
      </c>
      <c r="S156" s="27">
        <v>9.5000000000000001E-2</v>
      </c>
      <c r="T156" s="18">
        <v>2.7E-2</v>
      </c>
      <c r="U156" s="18">
        <v>8.7999999999999995E-2</v>
      </c>
      <c r="V156" s="18">
        <v>1.4E-2</v>
      </c>
      <c r="W156" s="28">
        <v>62</v>
      </c>
      <c r="X156" s="27">
        <v>0.62285714285714289</v>
      </c>
      <c r="Y156" s="52">
        <v>109</v>
      </c>
      <c r="Z156" s="18">
        <v>3.4000000000000002E-2</v>
      </c>
      <c r="AA156" s="18">
        <v>0.08</v>
      </c>
      <c r="AB156" s="18">
        <v>2.3E-2</v>
      </c>
      <c r="AC156" s="18">
        <v>7.3999999999999996E-2</v>
      </c>
      <c r="AD156" s="27">
        <f t="shared" si="23"/>
        <v>0.154</v>
      </c>
      <c r="AE156" s="18">
        <v>1.0999999999999999E-2</v>
      </c>
      <c r="AF156" s="1" t="s">
        <v>167</v>
      </c>
      <c r="AG156" s="1" t="s">
        <v>130</v>
      </c>
      <c r="AH156" s="1" t="s">
        <v>146</v>
      </c>
      <c r="AI156" s="1">
        <v>21</v>
      </c>
      <c r="AJ156" s="1">
        <v>67</v>
      </c>
      <c r="AK156" s="1">
        <v>8</v>
      </c>
      <c r="AL156" s="1" t="s">
        <v>132</v>
      </c>
      <c r="AM156" s="108">
        <v>170</v>
      </c>
      <c r="AN156" s="1">
        <v>97</v>
      </c>
      <c r="AO156" s="1">
        <v>42</v>
      </c>
      <c r="AP156" s="28">
        <v>70</v>
      </c>
      <c r="AQ156" s="1" t="s">
        <v>313</v>
      </c>
      <c r="AR156" s="1">
        <v>95</v>
      </c>
      <c r="AS156" s="1" t="s">
        <v>313</v>
      </c>
      <c r="AT156" s="1">
        <v>85</v>
      </c>
      <c r="AU156" s="1">
        <v>80</v>
      </c>
      <c r="AV156" s="1">
        <v>100</v>
      </c>
      <c r="AW156" s="1">
        <v>74</v>
      </c>
      <c r="AX156" s="1">
        <v>93</v>
      </c>
      <c r="AY156" s="30" t="e">
        <f t="shared" si="22"/>
        <v>#NUM!</v>
      </c>
      <c r="AZ156" s="31">
        <f t="shared" si="20"/>
        <v>3.9394609957943727</v>
      </c>
      <c r="BA156" s="1">
        <v>28</v>
      </c>
      <c r="BB156" s="52">
        <v>93</v>
      </c>
      <c r="BC156" s="1">
        <v>15</v>
      </c>
      <c r="BD156" s="52">
        <v>100</v>
      </c>
      <c r="BE156" s="1">
        <v>13</v>
      </c>
      <c r="BF156" s="52">
        <v>87</v>
      </c>
      <c r="BG156" s="1">
        <v>28</v>
      </c>
      <c r="BH156" s="52">
        <v>93</v>
      </c>
      <c r="BI156" s="1">
        <v>29</v>
      </c>
      <c r="BJ156" s="52">
        <v>97</v>
      </c>
      <c r="BK156" s="108">
        <v>54</v>
      </c>
      <c r="BL156" s="1">
        <v>84</v>
      </c>
      <c r="BM156" s="108">
        <v>197</v>
      </c>
      <c r="BN156" s="3">
        <v>118</v>
      </c>
      <c r="BO156" s="21">
        <f t="shared" si="24"/>
        <v>96.568627450980387</v>
      </c>
      <c r="BP156" s="1">
        <v>49</v>
      </c>
      <c r="BQ156" s="1">
        <v>94</v>
      </c>
      <c r="BR156" s="3" t="s">
        <v>133</v>
      </c>
      <c r="BS156" s="3">
        <v>3</v>
      </c>
      <c r="BT156" s="1">
        <v>36</v>
      </c>
      <c r="BU156" s="3">
        <v>90</v>
      </c>
      <c r="BV156" s="3">
        <v>2</v>
      </c>
      <c r="BW156" s="1">
        <v>40</v>
      </c>
      <c r="BX156" s="3">
        <v>100</v>
      </c>
      <c r="BY156" s="3">
        <v>3.81</v>
      </c>
      <c r="BZ156" s="23" t="s">
        <v>134</v>
      </c>
      <c r="CA156" s="23" t="s">
        <v>134</v>
      </c>
      <c r="CB156" s="33">
        <v>1</v>
      </c>
      <c r="CC156" s="34">
        <v>5.7142857142857143E-3</v>
      </c>
      <c r="CD156" s="125" t="s">
        <v>165</v>
      </c>
      <c r="CE156" s="125" t="s">
        <v>165</v>
      </c>
      <c r="CF156" s="125" t="s">
        <v>165</v>
      </c>
      <c r="CG156" s="1">
        <v>60</v>
      </c>
      <c r="CH156" s="1" t="s">
        <v>140</v>
      </c>
      <c r="CI156" s="3" t="s">
        <v>188</v>
      </c>
      <c r="CJ156" s="171"/>
      <c r="CK156" s="171"/>
      <c r="CL156" s="1" t="s">
        <v>138</v>
      </c>
      <c r="CM156" s="3" t="s">
        <v>314</v>
      </c>
      <c r="CN156" s="3" t="s">
        <v>188</v>
      </c>
      <c r="CO156" s="171"/>
      <c r="CP156" s="171"/>
      <c r="CQ156" s="171"/>
      <c r="CR156" s="1" t="s">
        <v>138</v>
      </c>
      <c r="CS156" s="1" t="s">
        <v>138</v>
      </c>
      <c r="CT156" s="1" t="s">
        <v>138</v>
      </c>
      <c r="CU156" s="1" t="s">
        <v>138</v>
      </c>
      <c r="CV156" s="1" t="s">
        <v>138</v>
      </c>
      <c r="CW156" s="1" t="s">
        <v>138</v>
      </c>
      <c r="DJ156" s="3"/>
    </row>
    <row r="157" spans="1:192" ht="60">
      <c r="A157" s="190">
        <v>20126</v>
      </c>
      <c r="B157" s="23" t="s">
        <v>127</v>
      </c>
      <c r="C157" s="3">
        <v>38</v>
      </c>
      <c r="D157" s="1">
        <v>3</v>
      </c>
      <c r="E157" s="3">
        <v>1</v>
      </c>
      <c r="F157" s="1">
        <v>4</v>
      </c>
      <c r="G157" s="3">
        <v>6.5</v>
      </c>
      <c r="H157" s="1">
        <v>6.2</v>
      </c>
      <c r="I157" s="15">
        <v>2.2999999999999998</v>
      </c>
      <c r="J157" s="3" t="s">
        <v>210</v>
      </c>
      <c r="K157" s="26">
        <v>1.31E-3</v>
      </c>
      <c r="L157" s="26">
        <v>1.2189999999999999E-2</v>
      </c>
      <c r="M157" s="26">
        <v>1.8710000000000001E-2</v>
      </c>
      <c r="N157" s="27">
        <v>1.31E-3</v>
      </c>
      <c r="O157" s="27">
        <v>1.2189999999999999E-2</v>
      </c>
      <c r="P157" s="27">
        <v>1.8710000000000001E-2</v>
      </c>
      <c r="Q157" s="27">
        <v>0.107</v>
      </c>
      <c r="R157" s="27">
        <v>0.08</v>
      </c>
      <c r="S157" s="27">
        <v>0.16</v>
      </c>
      <c r="T157" s="27">
        <v>0</v>
      </c>
      <c r="U157" s="27">
        <v>0.44</v>
      </c>
      <c r="V157" s="27">
        <v>0.21299999999999999</v>
      </c>
      <c r="W157" s="52">
        <v>5</v>
      </c>
      <c r="X157" s="27">
        <v>4.5714285714285714E-2</v>
      </c>
      <c r="Y157" s="52">
        <v>8</v>
      </c>
      <c r="Z157" s="27">
        <v>3.4000000000000002E-2</v>
      </c>
      <c r="AA157" s="27">
        <v>6.9000000000000006E-2</v>
      </c>
      <c r="AB157" s="27">
        <v>0</v>
      </c>
      <c r="AC157" s="27">
        <v>0.189</v>
      </c>
      <c r="AD157" s="27">
        <f t="shared" si="23"/>
        <v>0.25800000000000001</v>
      </c>
      <c r="AE157" s="27">
        <v>9.0999999999999998E-2</v>
      </c>
      <c r="AF157" s="1" t="s">
        <v>167</v>
      </c>
      <c r="AG157" s="1" t="s">
        <v>130</v>
      </c>
      <c r="AH157" s="1" t="s">
        <v>146</v>
      </c>
      <c r="AI157" s="3">
        <v>16</v>
      </c>
      <c r="AJ157" s="3">
        <v>58</v>
      </c>
      <c r="AK157" s="3">
        <v>24</v>
      </c>
      <c r="AL157" s="3" t="s">
        <v>132</v>
      </c>
      <c r="AM157" s="1">
        <v>130</v>
      </c>
      <c r="AN157" s="3">
        <v>74</v>
      </c>
      <c r="AO157" s="1">
        <v>6</v>
      </c>
      <c r="AP157" s="3">
        <v>10</v>
      </c>
      <c r="AQ157" s="1">
        <v>34</v>
      </c>
      <c r="AR157" s="3">
        <v>85</v>
      </c>
      <c r="AS157" s="1">
        <v>32</v>
      </c>
      <c r="AT157" s="3">
        <v>80</v>
      </c>
      <c r="AU157" s="1">
        <v>75</v>
      </c>
      <c r="AV157" s="3">
        <v>94</v>
      </c>
      <c r="AW157" s="1">
        <v>52</v>
      </c>
      <c r="AX157" s="3">
        <v>65</v>
      </c>
      <c r="AY157" s="30">
        <f t="shared" si="22"/>
        <v>1.9400940610044206</v>
      </c>
      <c r="AZ157" s="31">
        <f t="shared" si="20"/>
        <v>1.8910284071928289</v>
      </c>
      <c r="BA157" s="1">
        <v>11</v>
      </c>
      <c r="BB157" s="3">
        <v>37</v>
      </c>
      <c r="BC157" s="1">
        <v>5</v>
      </c>
      <c r="BD157" s="3">
        <v>33</v>
      </c>
      <c r="BE157" s="1">
        <v>6</v>
      </c>
      <c r="BF157" s="3">
        <v>40</v>
      </c>
      <c r="BG157" s="1">
        <v>13</v>
      </c>
      <c r="BH157" s="3">
        <v>43</v>
      </c>
      <c r="BI157" s="1">
        <v>25</v>
      </c>
      <c r="BJ157" s="3">
        <v>83</v>
      </c>
      <c r="BK157" s="1">
        <v>26</v>
      </c>
      <c r="BL157" s="3">
        <v>41</v>
      </c>
      <c r="BM157" s="1">
        <v>123</v>
      </c>
      <c r="BN157" s="3">
        <v>66</v>
      </c>
      <c r="BO157" s="21">
        <f t="shared" si="24"/>
        <v>60.294117647058819</v>
      </c>
      <c r="BP157" s="1">
        <v>39</v>
      </c>
      <c r="BQ157" s="3">
        <v>75</v>
      </c>
      <c r="BR157" s="53" t="s">
        <v>185</v>
      </c>
      <c r="BS157" s="3">
        <v>2.6</v>
      </c>
      <c r="BT157" s="1">
        <v>27</v>
      </c>
      <c r="BU157" s="3">
        <v>68</v>
      </c>
      <c r="BV157" s="3">
        <v>0.5</v>
      </c>
      <c r="BW157" s="1">
        <v>34</v>
      </c>
      <c r="BX157" s="3">
        <v>85</v>
      </c>
      <c r="BY157" s="3">
        <v>1.5</v>
      </c>
      <c r="BZ157" s="23" t="s">
        <v>221</v>
      </c>
      <c r="CA157" s="23" t="s">
        <v>221</v>
      </c>
      <c r="CB157" s="33">
        <v>44</v>
      </c>
      <c r="CC157" s="34">
        <v>0.25142857142857145</v>
      </c>
      <c r="CD157" s="125">
        <v>78</v>
      </c>
      <c r="CE157" s="125">
        <v>84</v>
      </c>
      <c r="CF157" s="125">
        <v>88</v>
      </c>
      <c r="CG157" s="1">
        <v>100</v>
      </c>
      <c r="CH157" s="5" t="s">
        <v>153</v>
      </c>
      <c r="CI157" s="3" t="s">
        <v>136</v>
      </c>
      <c r="CJ157" s="3" t="s">
        <v>136</v>
      </c>
      <c r="CK157" s="49" t="s">
        <v>142</v>
      </c>
      <c r="CL157" s="49"/>
      <c r="CM157" s="3" t="s">
        <v>143</v>
      </c>
      <c r="CN157" s="3" t="s">
        <v>188</v>
      </c>
      <c r="CO157" s="171"/>
      <c r="CP157" s="171"/>
      <c r="CQ157" s="171"/>
      <c r="CR157" s="1" t="s">
        <v>138</v>
      </c>
      <c r="CS157" s="1" t="s">
        <v>138</v>
      </c>
      <c r="CT157" s="1" t="s">
        <v>138</v>
      </c>
      <c r="CU157" s="1" t="s">
        <v>138</v>
      </c>
      <c r="CV157" s="1" t="s">
        <v>138</v>
      </c>
      <c r="CW157" s="1" t="s">
        <v>138</v>
      </c>
    </row>
    <row r="158" spans="1:192" ht="60">
      <c r="A158" s="190">
        <v>20127</v>
      </c>
      <c r="B158" s="23" t="s">
        <v>240</v>
      </c>
      <c r="C158" s="3">
        <v>53</v>
      </c>
      <c r="D158" s="3">
        <v>4</v>
      </c>
      <c r="E158" s="3">
        <v>4</v>
      </c>
      <c r="F158" s="3">
        <v>8</v>
      </c>
      <c r="G158" s="3">
        <v>6.6</v>
      </c>
      <c r="H158" s="3">
        <v>8</v>
      </c>
      <c r="I158" s="3">
        <v>2.9</v>
      </c>
      <c r="J158" s="3" t="s">
        <v>233</v>
      </c>
      <c r="K158" s="27">
        <v>1.06E-3</v>
      </c>
      <c r="L158" s="27">
        <v>1.4200000000000001E-2</v>
      </c>
      <c r="M158" s="27">
        <v>5.8650000000000001E-2</v>
      </c>
      <c r="N158" s="27">
        <v>1.06E-3</v>
      </c>
      <c r="O158" s="27">
        <v>1.4200000000000001E-2</v>
      </c>
      <c r="P158" s="27">
        <v>5.8650000000000001E-2</v>
      </c>
      <c r="Q158" s="27">
        <v>0.09</v>
      </c>
      <c r="R158" s="27">
        <v>0</v>
      </c>
      <c r="S158" s="27">
        <v>0.188</v>
      </c>
      <c r="T158" s="27">
        <v>2.3E-2</v>
      </c>
      <c r="U158" s="27">
        <v>0.42899999999999999</v>
      </c>
      <c r="V158" s="27">
        <v>0.27100000000000002</v>
      </c>
      <c r="W158" s="52">
        <v>7</v>
      </c>
      <c r="X158" s="27">
        <v>6.9000000000000006E-2</v>
      </c>
      <c r="Y158" s="52">
        <v>12</v>
      </c>
      <c r="Z158" s="27">
        <v>0</v>
      </c>
      <c r="AA158" s="27">
        <v>0.14299999999999999</v>
      </c>
      <c r="AB158" s="27">
        <v>1.7000000000000001E-2</v>
      </c>
      <c r="AC158" s="27">
        <v>0.32600000000000001</v>
      </c>
      <c r="AD158" s="27">
        <f t="shared" si="23"/>
        <v>0.46899999999999997</v>
      </c>
      <c r="AE158" s="27">
        <v>0.20599999999999999</v>
      </c>
      <c r="AF158" s="3" t="s">
        <v>167</v>
      </c>
      <c r="AG158" s="3" t="s">
        <v>130</v>
      </c>
      <c r="AH158" s="3" t="s">
        <v>146</v>
      </c>
      <c r="AI158" s="3">
        <v>12</v>
      </c>
      <c r="AJ158" s="3">
        <v>79</v>
      </c>
      <c r="AK158" s="3">
        <v>21</v>
      </c>
      <c r="AL158" s="3" t="s">
        <v>132</v>
      </c>
      <c r="AM158" s="3">
        <v>155</v>
      </c>
      <c r="AN158" s="3">
        <v>89</v>
      </c>
      <c r="AO158" s="3">
        <v>30</v>
      </c>
      <c r="AP158" s="3">
        <v>50</v>
      </c>
      <c r="AQ158" s="3">
        <v>33</v>
      </c>
      <c r="AR158" s="3">
        <v>83</v>
      </c>
      <c r="AS158" s="3">
        <v>30</v>
      </c>
      <c r="AT158" s="3">
        <v>75</v>
      </c>
      <c r="AU158" s="3">
        <v>72</v>
      </c>
      <c r="AV158" s="3">
        <v>90</v>
      </c>
      <c r="AW158" s="3">
        <v>63</v>
      </c>
      <c r="AX158" s="3">
        <v>79</v>
      </c>
      <c r="AY158" s="30">
        <f t="shared" si="22"/>
        <v>2.0879728125628412</v>
      </c>
      <c r="AZ158" s="31">
        <f t="shared" si="20"/>
        <v>2.0479649991747468</v>
      </c>
      <c r="BA158" s="3">
        <v>12</v>
      </c>
      <c r="BB158" s="3">
        <v>40</v>
      </c>
      <c r="BC158" s="3">
        <v>6</v>
      </c>
      <c r="BD158" s="3">
        <v>40</v>
      </c>
      <c r="BE158" s="3">
        <v>6</v>
      </c>
      <c r="BF158" s="3">
        <v>40</v>
      </c>
      <c r="BG158" s="3">
        <v>12</v>
      </c>
      <c r="BH158" s="3">
        <v>40</v>
      </c>
      <c r="BI158" s="3">
        <v>26</v>
      </c>
      <c r="BJ158" s="3">
        <v>87</v>
      </c>
      <c r="BK158" s="3">
        <v>27</v>
      </c>
      <c r="BL158" s="3">
        <v>42</v>
      </c>
      <c r="BM158" s="3">
        <v>98</v>
      </c>
      <c r="BN158" s="3">
        <v>53</v>
      </c>
      <c r="BO158" s="21">
        <f t="shared" si="24"/>
        <v>48.03921568627451</v>
      </c>
      <c r="BP158" s="3">
        <v>31</v>
      </c>
      <c r="BQ158" s="3">
        <v>60</v>
      </c>
      <c r="BR158" s="3" t="s">
        <v>133</v>
      </c>
      <c r="BS158" s="3">
        <v>2.2000000000000002</v>
      </c>
      <c r="BT158" s="3">
        <v>25</v>
      </c>
      <c r="BU158" s="3">
        <v>63</v>
      </c>
      <c r="BV158" s="3">
        <v>0.5</v>
      </c>
      <c r="BW158" s="3">
        <v>25</v>
      </c>
      <c r="BX158" s="3">
        <v>63</v>
      </c>
      <c r="BY158" s="3">
        <v>0.5</v>
      </c>
      <c r="BZ158" s="3" t="s">
        <v>134</v>
      </c>
      <c r="CA158" s="3" t="s">
        <v>134</v>
      </c>
      <c r="CB158" s="33">
        <v>15</v>
      </c>
      <c r="CC158" s="34">
        <v>8.5714285714285715E-2</v>
      </c>
      <c r="CD158" s="3">
        <v>67</v>
      </c>
      <c r="CE158" s="3">
        <v>72</v>
      </c>
      <c r="CF158" s="3">
        <v>91</v>
      </c>
      <c r="CG158" s="3">
        <v>100</v>
      </c>
      <c r="CH158" s="3" t="s">
        <v>135</v>
      </c>
      <c r="CI158" s="3" t="s">
        <v>188</v>
      </c>
      <c r="CJ158" s="171"/>
      <c r="CK158" s="171"/>
      <c r="CL158" s="1" t="s">
        <v>234</v>
      </c>
      <c r="CM158" s="3" t="s">
        <v>261</v>
      </c>
      <c r="CN158" s="3" t="s">
        <v>188</v>
      </c>
      <c r="CO158" s="171"/>
      <c r="CP158" s="171"/>
      <c r="CQ158" s="171"/>
      <c r="CR158" s="1" t="s">
        <v>234</v>
      </c>
      <c r="CS158" s="1" t="s">
        <v>138</v>
      </c>
      <c r="CT158" s="1" t="s">
        <v>138</v>
      </c>
      <c r="CU158" s="1" t="s">
        <v>138</v>
      </c>
      <c r="CV158" s="1" t="s">
        <v>138</v>
      </c>
      <c r="CW158" s="1" t="s">
        <v>138</v>
      </c>
      <c r="DJ158" s="3"/>
    </row>
    <row r="159" spans="1:192" ht="15.75" customHeight="1">
      <c r="A159" s="190">
        <v>20128</v>
      </c>
      <c r="B159" s="51" t="s">
        <v>127</v>
      </c>
      <c r="C159" s="3">
        <v>97.9</v>
      </c>
      <c r="D159" s="3">
        <v>10</v>
      </c>
      <c r="E159" s="3">
        <v>10</v>
      </c>
      <c r="F159" s="3">
        <v>20</v>
      </c>
      <c r="G159" s="3">
        <v>10</v>
      </c>
      <c r="H159" s="3">
        <v>10</v>
      </c>
      <c r="I159" s="35">
        <v>9.9</v>
      </c>
      <c r="J159" s="3" t="s">
        <v>128</v>
      </c>
      <c r="K159" s="27">
        <v>2.7140000000000001E-2</v>
      </c>
      <c r="L159" s="27">
        <v>3.134E-2</v>
      </c>
      <c r="M159" s="27">
        <v>1.078E-2</v>
      </c>
      <c r="N159" s="27">
        <v>2.7140000000000001E-2</v>
      </c>
      <c r="O159" s="27">
        <v>3.134E-2</v>
      </c>
      <c r="P159" s="27">
        <v>1.078E-2</v>
      </c>
      <c r="Q159" s="27">
        <v>0.89500000000000002</v>
      </c>
      <c r="R159" s="27">
        <v>4.1000000000000002E-2</v>
      </c>
      <c r="S159" s="27">
        <v>6.0000000000000001E-3</v>
      </c>
      <c r="T159" s="27">
        <v>3.5000000000000003E-2</v>
      </c>
      <c r="U159" s="27">
        <v>1.7000000000000001E-2</v>
      </c>
      <c r="V159" s="27">
        <v>6.0000000000000001E-3</v>
      </c>
      <c r="W159" s="52">
        <v>88</v>
      </c>
      <c r="X159" s="27">
        <v>0.88</v>
      </c>
      <c r="Y159" s="52">
        <v>154</v>
      </c>
      <c r="Z159" s="27">
        <v>0.04</v>
      </c>
      <c r="AA159" s="27">
        <v>6.0000000000000001E-3</v>
      </c>
      <c r="AB159" s="27">
        <v>3.4000000000000002E-2</v>
      </c>
      <c r="AC159" s="27">
        <v>1.7000000000000001E-2</v>
      </c>
      <c r="AD159" s="27">
        <f t="shared" si="23"/>
        <v>2.3E-2</v>
      </c>
      <c r="AE159" s="27">
        <v>6.0000000000000001E-3</v>
      </c>
      <c r="AF159" s="27" t="s">
        <v>129</v>
      </c>
      <c r="AG159" s="3" t="s">
        <v>130</v>
      </c>
      <c r="AH159" s="3" t="s">
        <v>131</v>
      </c>
      <c r="AI159" s="3">
        <v>12</v>
      </c>
      <c r="AJ159" s="3">
        <v>65</v>
      </c>
      <c r="AK159" s="3">
        <v>7</v>
      </c>
      <c r="AL159" s="3" t="s">
        <v>132</v>
      </c>
      <c r="AM159" s="3">
        <v>162</v>
      </c>
      <c r="AN159" s="3">
        <v>93</v>
      </c>
      <c r="AO159" s="3">
        <v>42</v>
      </c>
      <c r="AP159" s="3">
        <v>70</v>
      </c>
      <c r="AQ159" s="3">
        <v>35</v>
      </c>
      <c r="AR159" s="3">
        <v>88</v>
      </c>
      <c r="AS159" s="3">
        <v>37</v>
      </c>
      <c r="AT159" s="3">
        <v>93</v>
      </c>
      <c r="AU159" s="3">
        <v>75</v>
      </c>
      <c r="AV159" s="3">
        <v>94</v>
      </c>
      <c r="AW159" s="3">
        <v>66</v>
      </c>
      <c r="AX159" s="3">
        <v>83</v>
      </c>
      <c r="AY159" s="30">
        <f t="shared" si="22"/>
        <v>2.5089388477430483</v>
      </c>
      <c r="AZ159" s="31">
        <f t="shared" si="20"/>
        <v>2.4488900959271556</v>
      </c>
      <c r="BA159" s="3">
        <v>29</v>
      </c>
      <c r="BB159" s="3">
        <v>97</v>
      </c>
      <c r="BC159" s="3">
        <v>15</v>
      </c>
      <c r="BD159" s="3">
        <v>100</v>
      </c>
      <c r="BE159" s="3">
        <v>14</v>
      </c>
      <c r="BF159" s="3">
        <v>93</v>
      </c>
      <c r="BG159" s="3">
        <v>30</v>
      </c>
      <c r="BH159" s="3">
        <v>100</v>
      </c>
      <c r="BI159" s="3">
        <v>30</v>
      </c>
      <c r="BJ159" s="3">
        <v>100</v>
      </c>
      <c r="BK159" s="3">
        <v>53</v>
      </c>
      <c r="BL159" s="3">
        <v>83</v>
      </c>
      <c r="BM159" s="3">
        <v>162</v>
      </c>
      <c r="BN159" s="3">
        <v>83</v>
      </c>
      <c r="BO159" s="21">
        <f t="shared" si="24"/>
        <v>79.411764705882348</v>
      </c>
      <c r="BP159" s="3">
        <v>50</v>
      </c>
      <c r="BQ159" s="3">
        <v>96</v>
      </c>
      <c r="BR159" s="3" t="s">
        <v>133</v>
      </c>
      <c r="BS159" s="3">
        <v>5</v>
      </c>
      <c r="BT159" s="3">
        <v>35</v>
      </c>
      <c r="BU159" s="3">
        <v>88</v>
      </c>
      <c r="BV159" s="3">
        <v>3.67</v>
      </c>
      <c r="BW159" s="3">
        <v>30</v>
      </c>
      <c r="BX159" s="3">
        <v>75</v>
      </c>
      <c r="BY159" s="3">
        <v>4</v>
      </c>
      <c r="BZ159" s="3" t="s">
        <v>134</v>
      </c>
      <c r="CA159" s="3" t="s">
        <v>134</v>
      </c>
      <c r="CB159" s="33">
        <v>0</v>
      </c>
      <c r="CC159" s="34">
        <v>0</v>
      </c>
      <c r="CD159" s="3">
        <v>98</v>
      </c>
      <c r="CE159" s="3">
        <v>98</v>
      </c>
      <c r="CF159" s="3">
        <v>98</v>
      </c>
      <c r="CG159" s="3">
        <v>100</v>
      </c>
      <c r="CH159" s="3" t="s">
        <v>140</v>
      </c>
      <c r="CI159" s="3" t="s">
        <v>136</v>
      </c>
      <c r="CJ159" s="3" t="s">
        <v>136</v>
      </c>
      <c r="CK159" s="49" t="s">
        <v>163</v>
      </c>
      <c r="CL159" s="49"/>
      <c r="CM159" s="3" t="s">
        <v>218</v>
      </c>
      <c r="CN159" s="3" t="s">
        <v>188</v>
      </c>
      <c r="CO159" s="171"/>
      <c r="CP159" s="171"/>
      <c r="CQ159" s="171"/>
      <c r="CR159" s="1" t="s">
        <v>138</v>
      </c>
      <c r="CS159" s="1" t="s">
        <v>138</v>
      </c>
      <c r="CT159" s="1" t="s">
        <v>138</v>
      </c>
      <c r="CU159" s="1" t="s">
        <v>138</v>
      </c>
      <c r="CV159" s="1" t="s">
        <v>138</v>
      </c>
      <c r="CW159" s="1" t="s">
        <v>138</v>
      </c>
    </row>
    <row r="160" spans="1:192" ht="15.75" customHeight="1">
      <c r="A160" s="190">
        <v>20129</v>
      </c>
      <c r="B160" s="51" t="s">
        <v>166</v>
      </c>
      <c r="C160" s="1">
        <v>88.9</v>
      </c>
      <c r="D160" s="1">
        <v>9</v>
      </c>
      <c r="E160" s="1">
        <v>9</v>
      </c>
      <c r="F160" s="1">
        <v>18</v>
      </c>
      <c r="G160" s="1">
        <v>9.75</v>
      </c>
      <c r="H160" s="1">
        <v>8</v>
      </c>
      <c r="I160" s="1">
        <v>8.6999999999999993</v>
      </c>
      <c r="J160" s="1" t="s">
        <v>128</v>
      </c>
      <c r="K160" s="26">
        <v>2.836E-2</v>
      </c>
      <c r="L160" s="26">
        <v>2.76E-2</v>
      </c>
      <c r="M160" s="26">
        <v>1.0460000000000001E-2</v>
      </c>
      <c r="N160" s="27">
        <v>2.836E-2</v>
      </c>
      <c r="O160" s="27">
        <v>2.76E-2</v>
      </c>
      <c r="P160" s="27">
        <v>1.0460000000000001E-2</v>
      </c>
      <c r="Q160" s="27">
        <v>0.91</v>
      </c>
      <c r="R160" s="27">
        <v>3.5999999999999997E-2</v>
      </c>
      <c r="S160" s="27">
        <v>0</v>
      </c>
      <c r="T160" s="27">
        <v>1.7999999999999999E-2</v>
      </c>
      <c r="U160" s="27">
        <v>0.03</v>
      </c>
      <c r="V160" s="27">
        <v>6.0000000000000001E-3</v>
      </c>
      <c r="W160" s="28">
        <v>86</v>
      </c>
      <c r="X160" s="18">
        <v>0.86285714285714288</v>
      </c>
      <c r="Y160" s="28">
        <v>151</v>
      </c>
      <c r="Z160" s="18">
        <v>3.4000000000000002E-2</v>
      </c>
      <c r="AA160" s="18">
        <v>0</v>
      </c>
      <c r="AB160" s="18">
        <v>1.7000000000000001E-2</v>
      </c>
      <c r="AC160" s="18">
        <v>2.9000000000000001E-2</v>
      </c>
      <c r="AD160" s="27">
        <f t="shared" si="23"/>
        <v>2.9000000000000001E-2</v>
      </c>
      <c r="AE160" s="18">
        <v>6.0000000000000001E-3</v>
      </c>
      <c r="AF160" s="1" t="s">
        <v>129</v>
      </c>
      <c r="AG160" s="1" t="s">
        <v>130</v>
      </c>
      <c r="AH160" s="1" t="s">
        <v>146</v>
      </c>
      <c r="AI160" s="1">
        <v>12</v>
      </c>
      <c r="AJ160" s="1">
        <v>45</v>
      </c>
      <c r="AK160" s="1">
        <v>76</v>
      </c>
      <c r="AL160" s="1" t="s">
        <v>132</v>
      </c>
      <c r="AM160" s="108">
        <v>169</v>
      </c>
      <c r="AN160" s="1">
        <v>97</v>
      </c>
      <c r="AO160" s="1">
        <v>36</v>
      </c>
      <c r="AP160" s="3">
        <v>60</v>
      </c>
      <c r="AQ160" s="1">
        <v>38</v>
      </c>
      <c r="AR160" s="1">
        <v>95</v>
      </c>
      <c r="AS160" s="1">
        <v>37</v>
      </c>
      <c r="AT160" s="1">
        <v>93</v>
      </c>
      <c r="AU160" s="1">
        <v>71</v>
      </c>
      <c r="AV160" s="1">
        <v>89</v>
      </c>
      <c r="AW160" s="1">
        <v>65</v>
      </c>
      <c r="AX160" s="1">
        <v>81</v>
      </c>
      <c r="AY160" s="30">
        <f t="shared" si="22"/>
        <v>2.1044244150878391</v>
      </c>
      <c r="AZ160" s="31">
        <f t="shared" si="20"/>
        <v>2.0651925423282584</v>
      </c>
      <c r="BA160" s="1">
        <v>23</v>
      </c>
      <c r="BB160" s="1">
        <v>77</v>
      </c>
      <c r="BC160" s="1">
        <v>13</v>
      </c>
      <c r="BD160" s="1">
        <v>87</v>
      </c>
      <c r="BE160" s="1">
        <v>10</v>
      </c>
      <c r="BF160" s="1">
        <v>67</v>
      </c>
      <c r="BG160" s="1">
        <v>28</v>
      </c>
      <c r="BH160" s="1">
        <v>93</v>
      </c>
      <c r="BI160" s="1">
        <v>29</v>
      </c>
      <c r="BJ160" s="1">
        <v>97</v>
      </c>
      <c r="BK160" s="1">
        <v>52</v>
      </c>
      <c r="BL160" s="1">
        <v>81</v>
      </c>
      <c r="BM160" s="1">
        <v>160</v>
      </c>
      <c r="BN160" s="3">
        <v>81</v>
      </c>
      <c r="BO160" s="21">
        <f t="shared" si="24"/>
        <v>78.431372549019613</v>
      </c>
      <c r="BP160" s="1">
        <v>44</v>
      </c>
      <c r="BQ160" s="1">
        <v>73</v>
      </c>
      <c r="BR160" s="3" t="s">
        <v>133</v>
      </c>
      <c r="BS160" s="3">
        <v>3.4</v>
      </c>
      <c r="BT160" s="1">
        <v>39</v>
      </c>
      <c r="BU160" s="3">
        <v>98</v>
      </c>
      <c r="BV160" s="3">
        <v>3.45</v>
      </c>
      <c r="BW160" s="1">
        <v>35</v>
      </c>
      <c r="BX160" s="3">
        <v>88</v>
      </c>
      <c r="BY160" s="3">
        <v>2.83</v>
      </c>
      <c r="BZ160" s="23" t="s">
        <v>134</v>
      </c>
      <c r="CA160" s="23" t="s">
        <v>134</v>
      </c>
      <c r="CB160" s="33">
        <v>0</v>
      </c>
      <c r="CC160" s="34">
        <v>0</v>
      </c>
      <c r="CD160" s="3">
        <v>99</v>
      </c>
      <c r="CE160" s="3">
        <v>99</v>
      </c>
      <c r="CF160" s="3">
        <v>100</v>
      </c>
      <c r="CG160" s="1">
        <v>100</v>
      </c>
      <c r="CH160" s="1" t="s">
        <v>140</v>
      </c>
      <c r="CI160" s="3" t="s">
        <v>188</v>
      </c>
      <c r="CJ160" s="171"/>
      <c r="CK160" s="171"/>
      <c r="CL160" s="1" t="s">
        <v>138</v>
      </c>
      <c r="CM160" s="3" t="s">
        <v>168</v>
      </c>
      <c r="CN160" s="3" t="s">
        <v>188</v>
      </c>
      <c r="CO160" s="171"/>
      <c r="CP160" s="171"/>
      <c r="CQ160" s="171"/>
      <c r="CR160" s="1" t="s">
        <v>138</v>
      </c>
      <c r="CS160" s="1" t="s">
        <v>138</v>
      </c>
      <c r="CT160" s="1" t="s">
        <v>138</v>
      </c>
      <c r="CU160" s="1" t="s">
        <v>138</v>
      </c>
      <c r="CV160" s="1" t="s">
        <v>138</v>
      </c>
      <c r="CW160" s="1" t="s">
        <v>138</v>
      </c>
      <c r="DJ160" s="3"/>
    </row>
    <row r="161" spans="1:192" ht="15.75" customHeight="1">
      <c r="A161" s="190">
        <v>20130</v>
      </c>
      <c r="B161" s="51" t="s">
        <v>309</v>
      </c>
      <c r="C161" s="3">
        <v>89.7</v>
      </c>
      <c r="D161" s="1">
        <v>9</v>
      </c>
      <c r="E161" s="3">
        <v>9</v>
      </c>
      <c r="F161" s="1">
        <v>18</v>
      </c>
      <c r="G161" s="172">
        <v>9.75</v>
      </c>
      <c r="H161" s="1">
        <v>9.1999999999999993</v>
      </c>
      <c r="I161" s="1">
        <v>7.9</v>
      </c>
      <c r="J161" s="3" t="s">
        <v>128</v>
      </c>
      <c r="K161" s="26">
        <v>2.2290000000000001E-2</v>
      </c>
      <c r="L161" s="26">
        <v>3.3869999999999997E-2</v>
      </c>
      <c r="M161" s="26">
        <v>1.8319999999999999E-2</v>
      </c>
      <c r="N161" s="27">
        <v>2.2290000000000001E-2</v>
      </c>
      <c r="O161" s="27">
        <v>3.3869999999999997E-2</v>
      </c>
      <c r="P161" s="27">
        <v>1.8319999999999999E-2</v>
      </c>
      <c r="Q161" s="27">
        <v>0.83799999999999997</v>
      </c>
      <c r="R161" s="27">
        <v>9.7000000000000003E-2</v>
      </c>
      <c r="S161" s="27">
        <v>1.2999999999999999E-2</v>
      </c>
      <c r="T161" s="27">
        <v>3.9E-2</v>
      </c>
      <c r="U161" s="27">
        <v>6.0000000000000001E-3</v>
      </c>
      <c r="V161" s="27">
        <v>6.0000000000000001E-3</v>
      </c>
      <c r="W161" s="52">
        <v>74</v>
      </c>
      <c r="X161" s="27">
        <v>0.7371428571428571</v>
      </c>
      <c r="Y161" s="52">
        <v>129</v>
      </c>
      <c r="Z161" s="27">
        <v>8.5999999999999993E-2</v>
      </c>
      <c r="AA161" s="27">
        <v>1.0999999999999999E-2</v>
      </c>
      <c r="AB161" s="27">
        <v>3.4000000000000002E-2</v>
      </c>
      <c r="AC161" s="27">
        <v>6.0000000000000001E-3</v>
      </c>
      <c r="AD161" s="27">
        <f t="shared" si="23"/>
        <v>1.7000000000000001E-2</v>
      </c>
      <c r="AE161" s="27">
        <v>6.0000000000000001E-3</v>
      </c>
      <c r="AF161" s="1" t="s">
        <v>167</v>
      </c>
      <c r="AG161" s="3" t="s">
        <v>130</v>
      </c>
      <c r="AH161" s="3" t="s">
        <v>131</v>
      </c>
      <c r="AI161" s="3">
        <v>15</v>
      </c>
      <c r="AJ161" s="3">
        <v>75</v>
      </c>
      <c r="AK161" s="3">
        <v>13</v>
      </c>
      <c r="AL161" s="3" t="s">
        <v>132</v>
      </c>
      <c r="AM161" s="1">
        <v>162</v>
      </c>
      <c r="AN161" s="3">
        <v>93</v>
      </c>
      <c r="AO161" s="1">
        <v>28</v>
      </c>
      <c r="AP161" s="3">
        <v>47</v>
      </c>
      <c r="AQ161" s="1">
        <v>37</v>
      </c>
      <c r="AR161" s="3">
        <v>93</v>
      </c>
      <c r="AS161" s="1">
        <v>34</v>
      </c>
      <c r="AT161" s="3">
        <v>85</v>
      </c>
      <c r="AU161" s="1">
        <v>69</v>
      </c>
      <c r="AV161" s="3">
        <v>86</v>
      </c>
      <c r="AW161" s="1">
        <v>69</v>
      </c>
      <c r="AX161" s="3">
        <v>86</v>
      </c>
      <c r="AY161" s="30">
        <f t="shared" si="22"/>
        <v>2.160638681629913</v>
      </c>
      <c r="AZ161" s="31">
        <f t="shared" si="20"/>
        <v>2.1211244870628514</v>
      </c>
      <c r="BA161" s="1">
        <v>29</v>
      </c>
      <c r="BB161" s="3">
        <v>93</v>
      </c>
      <c r="BC161" s="1">
        <v>15</v>
      </c>
      <c r="BD161" s="3">
        <v>100</v>
      </c>
      <c r="BE161" s="1">
        <v>13</v>
      </c>
      <c r="BF161" s="3">
        <v>87</v>
      </c>
      <c r="BG161" s="1">
        <v>26</v>
      </c>
      <c r="BH161" s="3">
        <v>87</v>
      </c>
      <c r="BI161" s="1">
        <v>29</v>
      </c>
      <c r="BJ161" s="3">
        <v>97</v>
      </c>
      <c r="BK161" s="1">
        <v>50</v>
      </c>
      <c r="BL161" s="3">
        <v>78</v>
      </c>
      <c r="BM161" s="1">
        <v>179</v>
      </c>
      <c r="BN161" s="3">
        <v>93</v>
      </c>
      <c r="BO161" s="21">
        <f t="shared" si="24"/>
        <v>87.745098039215691</v>
      </c>
      <c r="BP161" s="1">
        <v>48</v>
      </c>
      <c r="BQ161" s="3">
        <v>92</v>
      </c>
      <c r="BR161" s="3" t="s">
        <v>133</v>
      </c>
      <c r="BS161" s="3">
        <v>3.4</v>
      </c>
      <c r="BT161" s="1">
        <v>36</v>
      </c>
      <c r="BU161" s="3">
        <v>90</v>
      </c>
      <c r="BV161" s="3">
        <v>3</v>
      </c>
      <c r="BW161" s="1">
        <v>38</v>
      </c>
      <c r="BX161" s="3">
        <v>95</v>
      </c>
      <c r="BY161" s="3">
        <v>3.25</v>
      </c>
      <c r="BZ161" s="23" t="s">
        <v>134</v>
      </c>
      <c r="CA161" s="23" t="s">
        <v>134</v>
      </c>
      <c r="CB161" s="33">
        <v>3</v>
      </c>
      <c r="CC161" s="34">
        <v>1.7142857142857144E-2</v>
      </c>
      <c r="CD161" s="3">
        <v>93</v>
      </c>
      <c r="CE161" s="3">
        <v>94</v>
      </c>
      <c r="CF161" s="3">
        <v>97</v>
      </c>
      <c r="CG161" s="1">
        <v>100</v>
      </c>
      <c r="CH161" s="1" t="s">
        <v>153</v>
      </c>
      <c r="CI161" s="3" t="s">
        <v>188</v>
      </c>
      <c r="CJ161" s="171"/>
      <c r="CK161" s="171"/>
      <c r="CL161" s="1" t="s">
        <v>138</v>
      </c>
      <c r="CM161" s="3" t="s">
        <v>218</v>
      </c>
      <c r="CN161" s="3" t="s">
        <v>188</v>
      </c>
      <c r="CO161" s="171"/>
      <c r="CP161" s="171"/>
      <c r="CQ161" s="171"/>
      <c r="CR161" s="1" t="s">
        <v>138</v>
      </c>
      <c r="CS161" s="1" t="s">
        <v>138</v>
      </c>
      <c r="CT161" s="1" t="s">
        <v>138</v>
      </c>
      <c r="CU161" s="1" t="s">
        <v>138</v>
      </c>
      <c r="CV161" s="1" t="s">
        <v>138</v>
      </c>
      <c r="CW161" s="1" t="s">
        <v>138</v>
      </c>
      <c r="DJ161" s="3"/>
    </row>
    <row r="162" spans="1:192" ht="15.75" customHeight="1">
      <c r="A162" s="190">
        <v>20131</v>
      </c>
      <c r="B162" s="23" t="s">
        <v>315</v>
      </c>
      <c r="C162" s="1">
        <v>89.5</v>
      </c>
      <c r="D162" s="1">
        <v>9</v>
      </c>
      <c r="E162" s="1">
        <v>9</v>
      </c>
      <c r="F162" s="1">
        <v>18</v>
      </c>
      <c r="G162" s="1">
        <v>8.9499999999999993</v>
      </c>
      <c r="H162" s="1">
        <v>9.4</v>
      </c>
      <c r="I162" s="1">
        <v>8.4</v>
      </c>
      <c r="J162" s="1" t="s">
        <v>128</v>
      </c>
      <c r="K162" s="26">
        <v>3.1199999999999999E-2</v>
      </c>
      <c r="L162" s="26">
        <v>3.9070000000000001E-2</v>
      </c>
      <c r="M162" s="26">
        <v>3.0500000000000002E-3</v>
      </c>
      <c r="N162" s="27">
        <v>3.1199999999999999E-2</v>
      </c>
      <c r="O162" s="27">
        <v>3.9070000000000001E-2</v>
      </c>
      <c r="P162" s="27">
        <v>3.0500000000000002E-3</v>
      </c>
      <c r="Q162" s="27">
        <v>0.95299999999999996</v>
      </c>
      <c r="R162" s="27">
        <v>3.5000000000000003E-2</v>
      </c>
      <c r="S162" s="27">
        <v>6.0000000000000001E-3</v>
      </c>
      <c r="T162" s="27">
        <v>6.0000000000000001E-3</v>
      </c>
      <c r="U162" s="27">
        <v>0</v>
      </c>
      <c r="V162" s="27">
        <v>0</v>
      </c>
      <c r="W162" s="28">
        <v>93</v>
      </c>
      <c r="X162" s="18">
        <v>0.92571428571428571</v>
      </c>
      <c r="Y162" s="28">
        <v>162</v>
      </c>
      <c r="Z162" s="18">
        <v>3.4000000000000002E-2</v>
      </c>
      <c r="AA162" s="18">
        <v>6.0000000000000001E-3</v>
      </c>
      <c r="AB162" s="18">
        <v>6.0000000000000001E-3</v>
      </c>
      <c r="AC162" s="18">
        <v>0</v>
      </c>
      <c r="AD162" s="27">
        <f t="shared" si="23"/>
        <v>6.0000000000000001E-3</v>
      </c>
      <c r="AE162" s="18">
        <v>0</v>
      </c>
      <c r="AF162" s="1" t="s">
        <v>167</v>
      </c>
      <c r="AG162" s="1" t="s">
        <v>130</v>
      </c>
      <c r="AH162" s="1" t="s">
        <v>146</v>
      </c>
      <c r="AI162" s="1">
        <v>16</v>
      </c>
      <c r="AJ162" s="1">
        <v>71</v>
      </c>
      <c r="AK162" s="1">
        <v>79</v>
      </c>
      <c r="AL162" s="1" t="s">
        <v>132</v>
      </c>
      <c r="AM162" s="1">
        <v>167</v>
      </c>
      <c r="AN162" s="1">
        <v>95</v>
      </c>
      <c r="AO162" s="1">
        <v>31</v>
      </c>
      <c r="AP162" s="3">
        <v>50</v>
      </c>
      <c r="AQ162" s="1">
        <v>16</v>
      </c>
      <c r="AR162" s="1">
        <v>80</v>
      </c>
      <c r="AS162" s="1">
        <v>16</v>
      </c>
      <c r="AT162" s="1">
        <v>80</v>
      </c>
      <c r="AU162" s="1">
        <v>70</v>
      </c>
      <c r="AV162" s="1">
        <v>88</v>
      </c>
      <c r="AW162" s="1">
        <v>76</v>
      </c>
      <c r="AX162" s="1">
        <v>95</v>
      </c>
      <c r="AY162" s="30">
        <f t="shared" si="22"/>
        <v>2.8198404190175621</v>
      </c>
      <c r="AZ162" s="31">
        <f t="shared" si="20"/>
        <v>2.7450688215012002</v>
      </c>
      <c r="BA162" s="1">
        <v>24</v>
      </c>
      <c r="BB162" s="1">
        <v>80</v>
      </c>
      <c r="BC162" s="1">
        <v>13</v>
      </c>
      <c r="BD162" s="1">
        <v>87</v>
      </c>
      <c r="BE162" s="1">
        <v>11</v>
      </c>
      <c r="BF162" s="1">
        <v>73</v>
      </c>
      <c r="BG162" s="1">
        <v>18</v>
      </c>
      <c r="BH162" s="1">
        <v>60</v>
      </c>
      <c r="BI162" s="1">
        <v>30</v>
      </c>
      <c r="BJ162" s="1">
        <v>100</v>
      </c>
      <c r="BK162" s="1">
        <v>57</v>
      </c>
      <c r="BL162" s="3">
        <v>89</v>
      </c>
      <c r="BM162" s="1">
        <v>186</v>
      </c>
      <c r="BN162" s="3">
        <v>99</v>
      </c>
      <c r="BO162" s="21">
        <f t="shared" si="24"/>
        <v>91.17647058823529</v>
      </c>
      <c r="BP162" s="1">
        <v>50</v>
      </c>
      <c r="BQ162" s="3">
        <v>96</v>
      </c>
      <c r="BR162" s="3" t="s">
        <v>133</v>
      </c>
      <c r="BS162" s="3">
        <v>2.6</v>
      </c>
      <c r="BT162" s="1">
        <v>36</v>
      </c>
      <c r="BU162" s="3">
        <v>90</v>
      </c>
      <c r="BV162" s="3">
        <v>2</v>
      </c>
      <c r="BW162" s="1">
        <v>38</v>
      </c>
      <c r="BX162" s="3">
        <v>95</v>
      </c>
      <c r="BY162" s="137">
        <v>1.66</v>
      </c>
      <c r="BZ162" s="23" t="s">
        <v>134</v>
      </c>
      <c r="CA162" s="23" t="s">
        <v>134</v>
      </c>
      <c r="CB162" s="33">
        <v>3</v>
      </c>
      <c r="CC162" s="34">
        <v>1.7142857142857144E-2</v>
      </c>
      <c r="CD162" s="3">
        <v>96</v>
      </c>
      <c r="CE162" s="3">
        <v>98</v>
      </c>
      <c r="CF162" s="3">
        <v>96</v>
      </c>
      <c r="CG162" s="1">
        <v>100</v>
      </c>
      <c r="CH162" s="1" t="s">
        <v>153</v>
      </c>
      <c r="CI162" s="3" t="s">
        <v>188</v>
      </c>
      <c r="CJ162" s="171"/>
      <c r="CK162" s="171"/>
      <c r="CL162" s="1" t="s">
        <v>138</v>
      </c>
      <c r="CM162" s="3" t="s">
        <v>213</v>
      </c>
      <c r="CN162" s="3" t="s">
        <v>188</v>
      </c>
      <c r="CO162" s="171"/>
      <c r="CP162" s="171"/>
      <c r="CQ162" s="171"/>
      <c r="CR162" s="1" t="s">
        <v>138</v>
      </c>
      <c r="CS162" s="1" t="s">
        <v>138</v>
      </c>
      <c r="CT162" s="1" t="s">
        <v>138</v>
      </c>
      <c r="CU162" s="1" t="s">
        <v>138</v>
      </c>
      <c r="CV162" s="1" t="s">
        <v>138</v>
      </c>
      <c r="CW162" s="1" t="s">
        <v>138</v>
      </c>
      <c r="DJ162" s="3"/>
    </row>
    <row r="163" spans="1:192" ht="15.75" customHeight="1">
      <c r="A163" s="190">
        <v>20132</v>
      </c>
      <c r="B163" s="51" t="s">
        <v>166</v>
      </c>
      <c r="C163" s="3">
        <v>90.7</v>
      </c>
      <c r="D163" s="1">
        <v>9</v>
      </c>
      <c r="E163" s="3">
        <v>9</v>
      </c>
      <c r="F163" s="1">
        <v>18</v>
      </c>
      <c r="G163" s="3">
        <v>9.65</v>
      </c>
      <c r="H163" s="1">
        <v>9</v>
      </c>
      <c r="I163" s="1">
        <v>8.6999999999999993</v>
      </c>
      <c r="J163" s="3" t="s">
        <v>128</v>
      </c>
      <c r="K163" s="26">
        <v>9.3899999999999997E-2</v>
      </c>
      <c r="L163" s="26">
        <v>5.28E-3</v>
      </c>
      <c r="M163" s="26">
        <v>2.598E-2</v>
      </c>
      <c r="N163" s="27">
        <v>2.8000000000000001E-2</v>
      </c>
      <c r="O163" s="27">
        <v>3.1E-2</v>
      </c>
      <c r="P163" s="27">
        <v>2.1000000000000001E-2</v>
      </c>
      <c r="Q163" s="27">
        <v>0.89700000000000002</v>
      </c>
      <c r="R163" s="27">
        <v>3.2000000000000001E-2</v>
      </c>
      <c r="S163" s="27">
        <v>0</v>
      </c>
      <c r="T163" s="27">
        <v>5.8000000000000003E-2</v>
      </c>
      <c r="U163" s="27">
        <v>1.2999999999999999E-2</v>
      </c>
      <c r="V163" s="27">
        <v>0</v>
      </c>
      <c r="W163" s="52">
        <v>80</v>
      </c>
      <c r="X163" s="27">
        <v>0.8</v>
      </c>
      <c r="Y163" s="52">
        <v>140</v>
      </c>
      <c r="Z163" s="27">
        <v>2.9000000000000001E-2</v>
      </c>
      <c r="AA163" s="27">
        <v>0</v>
      </c>
      <c r="AB163" s="27">
        <v>5.0999999999999997E-2</v>
      </c>
      <c r="AC163" s="27">
        <v>1.0999999999999999E-2</v>
      </c>
      <c r="AD163" s="27">
        <f t="shared" si="23"/>
        <v>1.0999999999999999E-2</v>
      </c>
      <c r="AE163" s="27">
        <v>0</v>
      </c>
      <c r="AF163" s="1" t="s">
        <v>129</v>
      </c>
      <c r="AG163" s="1" t="s">
        <v>130</v>
      </c>
      <c r="AH163" s="3" t="s">
        <v>131</v>
      </c>
      <c r="AI163" s="3">
        <v>12</v>
      </c>
      <c r="AJ163" s="3">
        <v>55</v>
      </c>
      <c r="AK163" s="3">
        <v>163</v>
      </c>
      <c r="AL163" s="3" t="s">
        <v>132</v>
      </c>
      <c r="AM163" s="1">
        <v>166</v>
      </c>
      <c r="AN163" s="3">
        <v>95</v>
      </c>
      <c r="AO163" s="1">
        <v>37</v>
      </c>
      <c r="AP163" s="3">
        <v>62</v>
      </c>
      <c r="AQ163" s="1">
        <v>36</v>
      </c>
      <c r="AR163" s="3">
        <v>90</v>
      </c>
      <c r="AS163" s="1">
        <v>38</v>
      </c>
      <c r="AT163" s="3">
        <v>95</v>
      </c>
      <c r="AU163" s="1">
        <v>76</v>
      </c>
      <c r="AV163" s="3">
        <v>95</v>
      </c>
      <c r="AW163" s="1">
        <v>60</v>
      </c>
      <c r="AX163" s="3">
        <v>75</v>
      </c>
      <c r="AY163" s="30">
        <f t="shared" si="22"/>
        <v>2.3193433771475536</v>
      </c>
      <c r="AZ163" s="31">
        <f t="shared" si="20"/>
        <v>2.2580275459501413</v>
      </c>
      <c r="BA163" s="1">
        <v>24</v>
      </c>
      <c r="BB163" s="3">
        <v>80</v>
      </c>
      <c r="BC163" s="1">
        <v>12</v>
      </c>
      <c r="BD163" s="3">
        <v>80</v>
      </c>
      <c r="BE163" s="1">
        <v>12</v>
      </c>
      <c r="BF163" s="3">
        <v>80</v>
      </c>
      <c r="BG163" s="1">
        <v>26</v>
      </c>
      <c r="BH163" s="3">
        <v>87</v>
      </c>
      <c r="BI163" s="1">
        <v>30</v>
      </c>
      <c r="BJ163" s="3">
        <v>100</v>
      </c>
      <c r="BK163" s="1">
        <v>52</v>
      </c>
      <c r="BL163" s="3">
        <v>81</v>
      </c>
      <c r="BM163" s="1">
        <v>143</v>
      </c>
      <c r="BN163" s="3">
        <v>73</v>
      </c>
      <c r="BO163" s="21">
        <f t="shared" si="24"/>
        <v>70.098039215686271</v>
      </c>
      <c r="BP163" s="1">
        <v>44</v>
      </c>
      <c r="BQ163" s="3">
        <v>85</v>
      </c>
      <c r="BR163" s="3" t="s">
        <v>133</v>
      </c>
      <c r="BS163" s="3">
        <v>3.8</v>
      </c>
      <c r="BT163" s="1">
        <v>39</v>
      </c>
      <c r="BU163" s="3">
        <v>98</v>
      </c>
      <c r="BV163" s="3">
        <v>2.5499999999999998</v>
      </c>
      <c r="BW163" s="1">
        <v>39</v>
      </c>
      <c r="BX163" s="3">
        <v>98</v>
      </c>
      <c r="BY163" s="3">
        <v>6</v>
      </c>
      <c r="BZ163" s="23" t="s">
        <v>134</v>
      </c>
      <c r="CA163" s="23" t="s">
        <v>134</v>
      </c>
      <c r="CB163" s="33">
        <v>3</v>
      </c>
      <c r="CC163" s="34">
        <v>1.7142857142857144E-2</v>
      </c>
      <c r="CD163" s="3">
        <v>87</v>
      </c>
      <c r="CE163" s="3">
        <v>94</v>
      </c>
      <c r="CF163" s="3">
        <v>96</v>
      </c>
      <c r="CG163" s="1">
        <v>100</v>
      </c>
      <c r="CH163" s="1" t="s">
        <v>153</v>
      </c>
      <c r="CI163" s="3" t="s">
        <v>188</v>
      </c>
      <c r="CJ163" s="171"/>
      <c r="CK163" s="171"/>
      <c r="CL163" s="1" t="s">
        <v>138</v>
      </c>
      <c r="CM163" s="3" t="s">
        <v>218</v>
      </c>
      <c r="CN163" s="3" t="s">
        <v>188</v>
      </c>
      <c r="CO163" s="171"/>
      <c r="CP163" s="171"/>
      <c r="CQ163" s="171"/>
      <c r="CR163" s="1" t="s">
        <v>138</v>
      </c>
      <c r="CS163" s="1" t="s">
        <v>138</v>
      </c>
      <c r="CT163" s="1" t="s">
        <v>138</v>
      </c>
      <c r="CU163" s="1" t="s">
        <v>138</v>
      </c>
      <c r="CV163" s="1" t="s">
        <v>138</v>
      </c>
      <c r="CW163" s="1" t="s">
        <v>138</v>
      </c>
      <c r="DJ163" s="3"/>
    </row>
    <row r="164" spans="1:192" ht="15.75" customHeight="1">
      <c r="A164" s="190">
        <v>20133</v>
      </c>
      <c r="B164" s="51" t="s">
        <v>166</v>
      </c>
      <c r="C164" s="1">
        <v>96.3</v>
      </c>
      <c r="D164" s="1">
        <v>10</v>
      </c>
      <c r="E164" s="1">
        <v>10</v>
      </c>
      <c r="F164" s="1">
        <v>20</v>
      </c>
      <c r="G164" s="1">
        <v>9.35</v>
      </c>
      <c r="H164" s="1">
        <v>9.8000000000000007</v>
      </c>
      <c r="I164" s="15">
        <v>9</v>
      </c>
      <c r="J164" s="1" t="s">
        <v>128</v>
      </c>
      <c r="K164" s="26">
        <v>7.2340000000000002E-2</v>
      </c>
      <c r="L164" s="26">
        <v>5.8290000000000002E-2</v>
      </c>
      <c r="M164" s="26">
        <v>1.08E-3</v>
      </c>
      <c r="N164" s="27">
        <v>3.6999999999999998E-2</v>
      </c>
      <c r="O164" s="27">
        <v>0.05</v>
      </c>
      <c r="P164" s="27">
        <v>2E-3</v>
      </c>
      <c r="Q164" s="27">
        <v>0.96586000000000005</v>
      </c>
      <c r="R164" s="27">
        <v>2.0799999999999999E-2</v>
      </c>
      <c r="S164" s="27">
        <v>0</v>
      </c>
      <c r="T164" s="18">
        <v>1.304E-2</v>
      </c>
      <c r="U164" s="18">
        <v>2.9999999999999997E-4</v>
      </c>
      <c r="V164" s="18">
        <v>0</v>
      </c>
      <c r="W164" s="28">
        <v>97</v>
      </c>
      <c r="X164" s="18">
        <v>0.96571428571428575</v>
      </c>
      <c r="Y164" s="28">
        <v>169</v>
      </c>
      <c r="Z164" s="18">
        <v>2.2800000000000001E-2</v>
      </c>
      <c r="AA164" s="18">
        <v>0</v>
      </c>
      <c r="AB164" s="18">
        <v>1.142E-2</v>
      </c>
      <c r="AC164" s="18">
        <v>0</v>
      </c>
      <c r="AD164" s="27">
        <f t="shared" si="23"/>
        <v>0</v>
      </c>
      <c r="AE164" s="18">
        <v>0</v>
      </c>
      <c r="AF164" s="1" t="s">
        <v>167</v>
      </c>
      <c r="AG164" s="1" t="s">
        <v>130</v>
      </c>
      <c r="AH164" s="1" t="s">
        <v>131</v>
      </c>
      <c r="AI164" s="1">
        <v>12</v>
      </c>
      <c r="AJ164" s="1">
        <v>68</v>
      </c>
      <c r="AK164" s="1">
        <v>70</v>
      </c>
      <c r="AL164" s="1" t="s">
        <v>132</v>
      </c>
      <c r="AM164" s="1">
        <v>172</v>
      </c>
      <c r="AN164" s="1">
        <v>98</v>
      </c>
      <c r="AO164" s="1">
        <v>47</v>
      </c>
      <c r="AP164" s="1">
        <v>60</v>
      </c>
      <c r="AQ164" s="1">
        <v>37</v>
      </c>
      <c r="AR164" s="1">
        <v>93</v>
      </c>
      <c r="AS164" s="1">
        <v>37</v>
      </c>
      <c r="AT164" s="1">
        <v>95</v>
      </c>
      <c r="AU164" s="1">
        <v>79</v>
      </c>
      <c r="AV164" s="1">
        <v>99</v>
      </c>
      <c r="AW164" s="1">
        <v>66</v>
      </c>
      <c r="AX164" s="1">
        <v>83</v>
      </c>
      <c r="AY164" s="30">
        <f t="shared" si="22"/>
        <v>3.280513127187036</v>
      </c>
      <c r="AZ164" s="31">
        <f t="shared" si="20"/>
        <v>3.0813658624068783</v>
      </c>
      <c r="BA164" s="1">
        <v>23</v>
      </c>
      <c r="BB164" s="3">
        <v>77</v>
      </c>
      <c r="BC164" s="1">
        <v>12</v>
      </c>
      <c r="BD164" s="3">
        <v>80</v>
      </c>
      <c r="BE164" s="1">
        <v>11</v>
      </c>
      <c r="BF164" s="3">
        <v>73</v>
      </c>
      <c r="BG164" s="1">
        <v>25</v>
      </c>
      <c r="BH164" s="52">
        <v>83</v>
      </c>
      <c r="BI164" s="1">
        <v>29</v>
      </c>
      <c r="BJ164" s="3">
        <v>97</v>
      </c>
      <c r="BK164" s="1">
        <v>53</v>
      </c>
      <c r="BL164" s="1">
        <v>83</v>
      </c>
      <c r="BM164" s="1">
        <v>178</v>
      </c>
      <c r="BN164" s="3">
        <v>91</v>
      </c>
      <c r="BO164" s="21">
        <f t="shared" si="24"/>
        <v>87.254901960784309</v>
      </c>
      <c r="BP164" s="1">
        <v>49</v>
      </c>
      <c r="BQ164" s="1">
        <v>94</v>
      </c>
      <c r="BR164" s="3" t="s">
        <v>133</v>
      </c>
      <c r="BS164" s="3">
        <v>4.5999999999999996</v>
      </c>
      <c r="BT164" s="1">
        <v>39</v>
      </c>
      <c r="BU164" s="3">
        <v>97.5</v>
      </c>
      <c r="BV164" s="3">
        <v>3</v>
      </c>
      <c r="BW164" s="1">
        <v>40</v>
      </c>
      <c r="BX164" s="3">
        <v>100</v>
      </c>
      <c r="BY164" s="3">
        <v>5.6</v>
      </c>
      <c r="BZ164" s="23" t="s">
        <v>134</v>
      </c>
      <c r="CA164" s="23" t="s">
        <v>134</v>
      </c>
      <c r="CB164" s="107" t="s">
        <v>200</v>
      </c>
      <c r="CC164" s="107" t="s">
        <v>200</v>
      </c>
      <c r="CD164" s="3">
        <v>96</v>
      </c>
      <c r="CE164" s="3">
        <v>96</v>
      </c>
      <c r="CF164" s="3">
        <v>98</v>
      </c>
      <c r="CG164" s="1">
        <v>66.7</v>
      </c>
      <c r="CH164" s="1" t="s">
        <v>153</v>
      </c>
      <c r="CI164" s="3" t="s">
        <v>136</v>
      </c>
      <c r="CJ164" s="3" t="s">
        <v>136</v>
      </c>
      <c r="CK164" s="49" t="s">
        <v>163</v>
      </c>
      <c r="CL164" s="49"/>
      <c r="CM164" s="3" t="s">
        <v>250</v>
      </c>
      <c r="CN164" s="3" t="s">
        <v>188</v>
      </c>
      <c r="CO164" s="171"/>
      <c r="CP164" s="171"/>
      <c r="CQ164" s="171"/>
      <c r="CR164" s="1" t="s">
        <v>138</v>
      </c>
      <c r="CS164" s="1" t="s">
        <v>138</v>
      </c>
      <c r="CT164" s="1" t="s">
        <v>138</v>
      </c>
      <c r="CU164" s="1" t="s">
        <v>138</v>
      </c>
      <c r="CV164" s="1" t="s">
        <v>138</v>
      </c>
      <c r="CW164" s="1" t="s">
        <v>138</v>
      </c>
    </row>
    <row r="165" spans="1:192" ht="60">
      <c r="A165" s="190">
        <v>20134</v>
      </c>
      <c r="B165" s="51" t="s">
        <v>316</v>
      </c>
      <c r="C165" s="1">
        <v>88.2</v>
      </c>
      <c r="D165" s="1">
        <v>10</v>
      </c>
      <c r="E165" s="1">
        <v>10</v>
      </c>
      <c r="F165" s="1">
        <v>20</v>
      </c>
      <c r="G165" s="1">
        <v>8.9</v>
      </c>
      <c r="H165" s="1">
        <v>7</v>
      </c>
      <c r="I165" s="1">
        <v>8.1999999999999993</v>
      </c>
      <c r="J165" s="1" t="s">
        <v>128</v>
      </c>
      <c r="K165" s="26">
        <v>9.9330000000000002E-2</v>
      </c>
      <c r="L165" s="26">
        <v>1.272E-2</v>
      </c>
      <c r="M165" s="26">
        <v>1.7950000000000001E-2</v>
      </c>
      <c r="N165" s="27">
        <v>3.5999999999999997E-2</v>
      </c>
      <c r="O165" s="27">
        <v>2.5999999999999999E-2</v>
      </c>
      <c r="P165" s="27">
        <v>1.4E-2</v>
      </c>
      <c r="Q165" s="27">
        <v>0.93400000000000005</v>
      </c>
      <c r="R165" s="27">
        <v>6.0000000000000001E-3</v>
      </c>
      <c r="S165" s="27">
        <v>0</v>
      </c>
      <c r="T165" s="27">
        <v>3.5999999999999997E-2</v>
      </c>
      <c r="U165" s="27">
        <v>2.4E-2</v>
      </c>
      <c r="V165" s="27">
        <v>0</v>
      </c>
      <c r="W165" s="28">
        <v>89</v>
      </c>
      <c r="X165" s="18">
        <v>0.89142857142857146</v>
      </c>
      <c r="Y165" s="28">
        <v>156</v>
      </c>
      <c r="Z165" s="18">
        <v>6.0000000000000001E-3</v>
      </c>
      <c r="AA165" s="18">
        <v>0</v>
      </c>
      <c r="AB165" s="18">
        <v>3.4000000000000002E-2</v>
      </c>
      <c r="AC165" s="18">
        <v>2.3E-2</v>
      </c>
      <c r="AD165" s="27">
        <f t="shared" si="23"/>
        <v>2.3E-2</v>
      </c>
      <c r="AE165" s="18">
        <v>0</v>
      </c>
      <c r="AF165" s="1" t="s">
        <v>167</v>
      </c>
      <c r="AG165" s="1" t="s">
        <v>130</v>
      </c>
      <c r="AH165" s="1" t="s">
        <v>131</v>
      </c>
      <c r="AI165" s="1">
        <v>12</v>
      </c>
      <c r="AJ165" s="1">
        <v>46</v>
      </c>
      <c r="AK165" s="1">
        <v>113</v>
      </c>
      <c r="AL165" s="1" t="s">
        <v>132</v>
      </c>
      <c r="AM165" s="1">
        <v>167</v>
      </c>
      <c r="AN165" s="1">
        <v>95</v>
      </c>
      <c r="AO165" s="1">
        <v>22</v>
      </c>
      <c r="AP165" s="3">
        <v>37</v>
      </c>
      <c r="AQ165" s="1">
        <v>38</v>
      </c>
      <c r="AR165" s="3">
        <v>95</v>
      </c>
      <c r="AS165" s="1">
        <v>33</v>
      </c>
      <c r="AT165" s="3">
        <v>83</v>
      </c>
      <c r="AU165" s="1">
        <v>74</v>
      </c>
      <c r="AV165" s="3">
        <v>93</v>
      </c>
      <c r="AW165" s="1">
        <v>74</v>
      </c>
      <c r="AX165" s="3">
        <v>93</v>
      </c>
      <c r="AY165" s="30">
        <f t="shared" si="22"/>
        <v>2.9515820563583421</v>
      </c>
      <c r="AZ165" s="31">
        <f t="shared" si="20"/>
        <v>2.8747090449026191</v>
      </c>
      <c r="BA165" s="1">
        <v>24</v>
      </c>
      <c r="BB165" s="1">
        <v>80</v>
      </c>
      <c r="BC165" s="1">
        <v>13</v>
      </c>
      <c r="BD165" s="1">
        <v>87</v>
      </c>
      <c r="BE165" s="1">
        <v>11</v>
      </c>
      <c r="BF165" s="1">
        <v>73</v>
      </c>
      <c r="BG165" s="1">
        <v>25</v>
      </c>
      <c r="BH165" s="1">
        <v>83</v>
      </c>
      <c r="BI165" s="1">
        <v>30</v>
      </c>
      <c r="BJ165" s="1">
        <v>100</v>
      </c>
      <c r="BK165" s="1">
        <v>50</v>
      </c>
      <c r="BL165" s="3">
        <v>78</v>
      </c>
      <c r="BM165" s="1">
        <v>137</v>
      </c>
      <c r="BN165" s="3">
        <v>73</v>
      </c>
      <c r="BO165" s="21">
        <f t="shared" si="24"/>
        <v>67.156862745098039</v>
      </c>
      <c r="BP165" s="1">
        <v>48</v>
      </c>
      <c r="BQ165" s="3">
        <v>92</v>
      </c>
      <c r="BR165" s="3" t="s">
        <v>133</v>
      </c>
      <c r="BS165" s="3">
        <v>3</v>
      </c>
      <c r="BT165" s="1">
        <v>34</v>
      </c>
      <c r="BU165" s="3">
        <v>85</v>
      </c>
      <c r="BV165" s="3">
        <v>3</v>
      </c>
      <c r="BW165" s="1">
        <v>39</v>
      </c>
      <c r="BX165" s="3">
        <v>98</v>
      </c>
      <c r="BY165" s="3">
        <v>3</v>
      </c>
      <c r="BZ165" s="23" t="s">
        <v>134</v>
      </c>
      <c r="CA165" s="23" t="s">
        <v>134</v>
      </c>
      <c r="CB165" s="33">
        <v>9</v>
      </c>
      <c r="CC165" s="34">
        <v>5.1428571428571428E-2</v>
      </c>
      <c r="CD165" s="3">
        <v>93</v>
      </c>
      <c r="CE165" s="3">
        <v>93</v>
      </c>
      <c r="CF165" s="3">
        <v>98</v>
      </c>
      <c r="CG165" s="1">
        <v>100</v>
      </c>
      <c r="CH165" s="1" t="s">
        <v>153</v>
      </c>
      <c r="CI165" s="3" t="s">
        <v>188</v>
      </c>
      <c r="CJ165" s="171"/>
      <c r="CK165" s="171"/>
      <c r="CL165" s="1" t="s">
        <v>138</v>
      </c>
      <c r="CM165" s="3" t="s">
        <v>216</v>
      </c>
      <c r="CN165" s="3" t="s">
        <v>188</v>
      </c>
      <c r="CO165" s="171"/>
      <c r="CP165" s="171"/>
      <c r="CQ165" s="171"/>
      <c r="CR165" s="1" t="s">
        <v>138</v>
      </c>
      <c r="CS165" s="1" t="s">
        <v>138</v>
      </c>
      <c r="CT165" s="1" t="s">
        <v>138</v>
      </c>
      <c r="CU165" s="1" t="s">
        <v>138</v>
      </c>
      <c r="CV165" s="1" t="s">
        <v>138</v>
      </c>
      <c r="CW165" s="1" t="s">
        <v>138</v>
      </c>
      <c r="DJ165" s="3"/>
    </row>
    <row r="166" spans="1:192" ht="15.75" customHeight="1">
      <c r="A166" s="190">
        <v>20135</v>
      </c>
      <c r="B166" s="23" t="s">
        <v>240</v>
      </c>
      <c r="C166" s="3">
        <v>81.900000000000006</v>
      </c>
      <c r="D166" s="1">
        <v>10</v>
      </c>
      <c r="E166" s="3">
        <v>9</v>
      </c>
      <c r="F166" s="1">
        <v>19</v>
      </c>
      <c r="G166" s="3">
        <v>8.0500000000000007</v>
      </c>
      <c r="H166" s="1">
        <v>5.6</v>
      </c>
      <c r="I166" s="15">
        <v>8.3000000000000007</v>
      </c>
      <c r="J166" s="1" t="s">
        <v>145</v>
      </c>
      <c r="K166" s="27">
        <v>3.7060000000000003E-2</v>
      </c>
      <c r="L166" s="27">
        <v>1.8790000000000001E-2</v>
      </c>
      <c r="M166" s="27">
        <v>4.8399999999999997E-3</v>
      </c>
      <c r="N166" s="27">
        <v>3.7060000000000003E-2</v>
      </c>
      <c r="O166" s="27">
        <v>1.8790000000000001E-2</v>
      </c>
      <c r="P166" s="27">
        <v>4.8399999999999997E-3</v>
      </c>
      <c r="Q166" s="27">
        <v>0.86</v>
      </c>
      <c r="R166" s="27">
        <v>2.9000000000000001E-2</v>
      </c>
      <c r="S166" s="27">
        <v>1.2E-2</v>
      </c>
      <c r="T166" s="27">
        <v>1.7999999999999999E-2</v>
      </c>
      <c r="U166" s="27">
        <v>8.2000000000000003E-2</v>
      </c>
      <c r="V166" s="27">
        <v>0</v>
      </c>
      <c r="W166" s="52">
        <v>84</v>
      </c>
      <c r="X166" s="27">
        <v>0.84</v>
      </c>
      <c r="Y166" s="52">
        <v>147</v>
      </c>
      <c r="Z166" s="27">
        <v>2.9000000000000001E-2</v>
      </c>
      <c r="AA166" s="27">
        <v>1.0999999999999999E-2</v>
      </c>
      <c r="AB166" s="27">
        <v>1.7000000000000001E-2</v>
      </c>
      <c r="AC166" s="27">
        <v>0.08</v>
      </c>
      <c r="AD166" s="27">
        <f t="shared" si="23"/>
        <v>9.0999999999999998E-2</v>
      </c>
      <c r="AE166" s="27">
        <v>0</v>
      </c>
      <c r="AF166" s="1" t="s">
        <v>167</v>
      </c>
      <c r="AG166" s="3" t="s">
        <v>130</v>
      </c>
      <c r="AH166" s="3" t="s">
        <v>146</v>
      </c>
      <c r="AI166" s="3">
        <v>21</v>
      </c>
      <c r="AJ166" s="3">
        <v>79</v>
      </c>
      <c r="AK166" s="3">
        <v>170</v>
      </c>
      <c r="AL166" s="3" t="s">
        <v>132</v>
      </c>
      <c r="AM166" s="1">
        <v>98</v>
      </c>
      <c r="AN166" s="3">
        <v>56</v>
      </c>
      <c r="AO166" s="1">
        <v>0</v>
      </c>
      <c r="AP166" s="3">
        <v>0</v>
      </c>
      <c r="AQ166" s="1">
        <v>28</v>
      </c>
      <c r="AR166" s="3">
        <v>70</v>
      </c>
      <c r="AS166" s="1">
        <v>22</v>
      </c>
      <c r="AT166" s="3">
        <v>55</v>
      </c>
      <c r="AU166" s="1">
        <v>66</v>
      </c>
      <c r="AV166" s="3">
        <v>83</v>
      </c>
      <c r="AW166" s="1">
        <v>46</v>
      </c>
      <c r="AX166" s="3">
        <v>58</v>
      </c>
      <c r="AY166" s="30">
        <f t="shared" si="22"/>
        <v>1.1560587322880462</v>
      </c>
      <c r="AZ166" s="31">
        <f t="shared" si="20"/>
        <v>1.1375547956517478</v>
      </c>
      <c r="BA166" s="1">
        <v>28</v>
      </c>
      <c r="BB166" s="3">
        <v>93</v>
      </c>
      <c r="BC166" s="1">
        <v>14</v>
      </c>
      <c r="BD166" s="3">
        <v>93</v>
      </c>
      <c r="BE166" s="1">
        <v>14</v>
      </c>
      <c r="BF166" s="3">
        <v>93</v>
      </c>
      <c r="BG166" s="1">
        <v>21</v>
      </c>
      <c r="BH166" s="3">
        <v>70</v>
      </c>
      <c r="BI166" s="1">
        <v>26</v>
      </c>
      <c r="BJ166" s="3">
        <v>87</v>
      </c>
      <c r="BK166" s="1">
        <v>55</v>
      </c>
      <c r="BL166" s="3">
        <v>86</v>
      </c>
      <c r="BM166" s="1">
        <v>179</v>
      </c>
      <c r="BN166" s="3">
        <v>93</v>
      </c>
      <c r="BO166" s="21">
        <f t="shared" si="24"/>
        <v>87.745098039215691</v>
      </c>
      <c r="BP166" s="1">
        <v>49</v>
      </c>
      <c r="BQ166" s="3">
        <v>94</v>
      </c>
      <c r="BR166" s="3" t="s">
        <v>133</v>
      </c>
      <c r="BS166" s="3">
        <v>2.6</v>
      </c>
      <c r="BT166" s="1">
        <v>33</v>
      </c>
      <c r="BU166" s="3">
        <v>83</v>
      </c>
      <c r="BV166" s="3">
        <v>2</v>
      </c>
      <c r="BW166" s="1">
        <v>31</v>
      </c>
      <c r="BX166" s="3">
        <v>78</v>
      </c>
      <c r="BY166" s="3">
        <v>1.23</v>
      </c>
      <c r="BZ166" s="3" t="s">
        <v>134</v>
      </c>
      <c r="CA166" s="3" t="s">
        <v>134</v>
      </c>
      <c r="CB166" s="33">
        <v>3</v>
      </c>
      <c r="CC166" s="34">
        <v>1.7142857142857144E-2</v>
      </c>
      <c r="CD166" s="3">
        <v>81</v>
      </c>
      <c r="CE166" s="3">
        <v>89</v>
      </c>
      <c r="CF166" s="3">
        <v>84</v>
      </c>
      <c r="CG166" s="1">
        <v>100</v>
      </c>
      <c r="CH166" s="1" t="s">
        <v>140</v>
      </c>
      <c r="CI166" s="3" t="s">
        <v>136</v>
      </c>
      <c r="CJ166" s="3" t="s">
        <v>136</v>
      </c>
      <c r="CK166" s="49" t="s">
        <v>163</v>
      </c>
      <c r="CL166" s="49"/>
      <c r="CM166" s="3" t="s">
        <v>168</v>
      </c>
      <c r="CN166" s="3" t="s">
        <v>188</v>
      </c>
      <c r="CO166" s="171"/>
      <c r="CP166" s="171"/>
      <c r="CQ166" s="171"/>
      <c r="CR166" s="1" t="s">
        <v>138</v>
      </c>
      <c r="CS166" s="1" t="s">
        <v>138</v>
      </c>
      <c r="CT166" s="1" t="s">
        <v>138</v>
      </c>
      <c r="CU166" s="1" t="s">
        <v>138</v>
      </c>
      <c r="CV166" s="1" t="s">
        <v>138</v>
      </c>
      <c r="CW166" s="1" t="s">
        <v>138</v>
      </c>
    </row>
    <row r="167" spans="1:192" ht="15.75" customHeight="1">
      <c r="A167" s="190">
        <v>20136</v>
      </c>
      <c r="B167" s="51" t="s">
        <v>166</v>
      </c>
      <c r="C167" s="3">
        <v>94.1</v>
      </c>
      <c r="D167" s="3">
        <v>10</v>
      </c>
      <c r="E167" s="3">
        <v>10</v>
      </c>
      <c r="F167" s="3">
        <v>20</v>
      </c>
      <c r="G167" s="3">
        <v>9.35</v>
      </c>
      <c r="H167" s="3">
        <v>8.1999999999999993</v>
      </c>
      <c r="I167" s="35">
        <v>9.5</v>
      </c>
      <c r="J167" s="3" t="s">
        <v>128</v>
      </c>
      <c r="K167" s="27">
        <v>5.1860000000000003E-2</v>
      </c>
      <c r="L167" s="27">
        <v>2.1870000000000001E-2</v>
      </c>
      <c r="M167" s="27">
        <v>9.1599999999999997E-3</v>
      </c>
      <c r="N167" s="27">
        <v>5.1860000000000003E-2</v>
      </c>
      <c r="O167" s="27">
        <v>2.1870000000000001E-2</v>
      </c>
      <c r="P167" s="27">
        <v>9.1599999999999997E-3</v>
      </c>
      <c r="Q167" s="27">
        <v>0.97099999999999997</v>
      </c>
      <c r="R167" s="27">
        <v>6.0000000000000001E-3</v>
      </c>
      <c r="S167" s="27">
        <v>0</v>
      </c>
      <c r="T167" s="27">
        <v>6.0000000000000001E-3</v>
      </c>
      <c r="U167" s="27">
        <v>1.7000000000000001E-2</v>
      </c>
      <c r="V167" s="27">
        <v>0</v>
      </c>
      <c r="W167" s="52">
        <v>97</v>
      </c>
      <c r="X167" s="27">
        <v>0.97099999999999997</v>
      </c>
      <c r="Y167" s="52">
        <v>170</v>
      </c>
      <c r="Z167" s="27">
        <v>6.0000000000000001E-3</v>
      </c>
      <c r="AA167" s="27">
        <v>0</v>
      </c>
      <c r="AB167" s="27">
        <v>6.0000000000000001E-3</v>
      </c>
      <c r="AC167" s="27">
        <v>1.7000000000000001E-2</v>
      </c>
      <c r="AD167" s="27">
        <f t="shared" si="23"/>
        <v>1.7000000000000001E-2</v>
      </c>
      <c r="AE167" s="27">
        <v>0</v>
      </c>
      <c r="AF167" s="27" t="s">
        <v>129</v>
      </c>
      <c r="AG167" s="3" t="s">
        <v>130</v>
      </c>
      <c r="AH167" s="3" t="s">
        <v>146</v>
      </c>
      <c r="AI167" s="3">
        <v>15</v>
      </c>
      <c r="AJ167" s="3">
        <v>62</v>
      </c>
      <c r="AK167" s="3">
        <v>61</v>
      </c>
      <c r="AL167" s="3" t="s">
        <v>132</v>
      </c>
      <c r="AM167" s="3">
        <v>172</v>
      </c>
      <c r="AN167" s="3">
        <v>98</v>
      </c>
      <c r="AO167" s="3">
        <v>39</v>
      </c>
      <c r="AP167" s="3">
        <v>65</v>
      </c>
      <c r="AQ167" s="3">
        <v>38</v>
      </c>
      <c r="AR167" s="3">
        <v>95</v>
      </c>
      <c r="AS167" s="3">
        <v>38</v>
      </c>
      <c r="AT167" s="3">
        <v>95</v>
      </c>
      <c r="AU167" s="3">
        <v>79</v>
      </c>
      <c r="AV167" s="3">
        <v>99</v>
      </c>
      <c r="AW167" s="3">
        <v>69</v>
      </c>
      <c r="AX167" s="3">
        <v>86</v>
      </c>
      <c r="AY167" s="30">
        <f t="shared" si="22"/>
        <v>3.4066672148557973</v>
      </c>
      <c r="AZ167" s="31">
        <f t="shared" si="20"/>
        <v>3.203740775440346</v>
      </c>
      <c r="BA167" s="3">
        <v>30</v>
      </c>
      <c r="BB167" s="3">
        <v>100</v>
      </c>
      <c r="BC167" s="3">
        <v>15</v>
      </c>
      <c r="BD167" s="3">
        <v>100</v>
      </c>
      <c r="BE167" s="3">
        <v>15</v>
      </c>
      <c r="BF167" s="3">
        <v>100</v>
      </c>
      <c r="BG167" s="3">
        <v>29</v>
      </c>
      <c r="BH167" s="3">
        <v>97</v>
      </c>
      <c r="BI167" s="3">
        <v>30</v>
      </c>
      <c r="BJ167" s="3">
        <v>100</v>
      </c>
      <c r="BK167" s="3">
        <v>58</v>
      </c>
      <c r="BL167" s="3">
        <v>91</v>
      </c>
      <c r="BM167" s="3">
        <v>188</v>
      </c>
      <c r="BN167" s="3">
        <v>99</v>
      </c>
      <c r="BO167" s="21">
        <f t="shared" si="24"/>
        <v>92.156862745098039</v>
      </c>
      <c r="BP167" s="3">
        <v>50</v>
      </c>
      <c r="BQ167" s="3">
        <v>98</v>
      </c>
      <c r="BR167" s="3" t="s">
        <v>133</v>
      </c>
      <c r="BS167" s="3">
        <v>3.8</v>
      </c>
      <c r="BT167" s="3">
        <v>38</v>
      </c>
      <c r="BU167" s="3">
        <v>95</v>
      </c>
      <c r="BV167" s="3">
        <v>5</v>
      </c>
      <c r="BW167" s="3">
        <v>40</v>
      </c>
      <c r="BX167" s="3">
        <v>100</v>
      </c>
      <c r="BY167" s="3">
        <v>3.76</v>
      </c>
      <c r="BZ167" s="3" t="s">
        <v>134</v>
      </c>
      <c r="CA167" s="3" t="s">
        <v>134</v>
      </c>
      <c r="CB167" s="33">
        <v>0</v>
      </c>
      <c r="CC167" s="34">
        <v>0</v>
      </c>
      <c r="CD167" s="3">
        <v>97</v>
      </c>
      <c r="CE167" s="3">
        <v>98</v>
      </c>
      <c r="CF167" s="3">
        <v>98</v>
      </c>
      <c r="CG167" s="3">
        <v>100</v>
      </c>
      <c r="CH167" s="3" t="s">
        <v>135</v>
      </c>
      <c r="CI167" s="3" t="s">
        <v>136</v>
      </c>
      <c r="CJ167" s="3" t="s">
        <v>136</v>
      </c>
      <c r="CK167" s="49" t="s">
        <v>163</v>
      </c>
      <c r="CL167" s="49"/>
      <c r="CM167" s="3" t="s">
        <v>261</v>
      </c>
      <c r="CN167" s="3" t="s">
        <v>188</v>
      </c>
      <c r="CO167" s="171"/>
      <c r="CP167" s="171"/>
      <c r="CQ167" s="171"/>
      <c r="CR167" s="1" t="s">
        <v>138</v>
      </c>
      <c r="CS167" s="1" t="s">
        <v>138</v>
      </c>
      <c r="CT167" s="1" t="s">
        <v>138</v>
      </c>
      <c r="CU167" s="1" t="s">
        <v>138</v>
      </c>
      <c r="CV167" s="1" t="s">
        <v>138</v>
      </c>
      <c r="CW167" s="1" t="s">
        <v>138</v>
      </c>
    </row>
    <row r="168" spans="1:192" ht="15.75" customHeight="1">
      <c r="A168" s="190">
        <v>20137</v>
      </c>
      <c r="B168" s="23" t="s">
        <v>220</v>
      </c>
      <c r="C168" s="3">
        <v>88.8</v>
      </c>
      <c r="D168" s="3">
        <v>9</v>
      </c>
      <c r="E168" s="3">
        <v>9</v>
      </c>
      <c r="F168" s="3">
        <v>18</v>
      </c>
      <c r="G168" s="3">
        <v>8.9</v>
      </c>
      <c r="H168" s="3">
        <v>8.6</v>
      </c>
      <c r="I168" s="35">
        <v>8.6</v>
      </c>
      <c r="J168" s="3" t="s">
        <v>128</v>
      </c>
      <c r="K168" s="27">
        <v>2.6509999999999999E-2</v>
      </c>
      <c r="L168" s="27">
        <v>2.511E-2</v>
      </c>
      <c r="M168" s="27">
        <v>2.1899999999999999E-2</v>
      </c>
      <c r="N168" s="27">
        <v>2.6509999999999999E-2</v>
      </c>
      <c r="O168" s="27">
        <v>2.511E-2</v>
      </c>
      <c r="P168" s="27">
        <v>2.1899999999999999E-2</v>
      </c>
      <c r="Q168" s="27">
        <v>0.878</v>
      </c>
      <c r="R168" s="27">
        <v>0.02</v>
      </c>
      <c r="S168" s="27">
        <v>0.02</v>
      </c>
      <c r="T168" s="27">
        <v>4.1000000000000002E-2</v>
      </c>
      <c r="U168" s="27">
        <v>4.1000000000000002E-2</v>
      </c>
      <c r="V168" s="27">
        <v>0</v>
      </c>
      <c r="W168" s="52">
        <v>74</v>
      </c>
      <c r="X168" s="27">
        <v>0.73899999999999999</v>
      </c>
      <c r="Y168" s="52">
        <v>130</v>
      </c>
      <c r="Z168" s="27">
        <v>1.7000000000000001E-2</v>
      </c>
      <c r="AA168" s="27">
        <v>1.7000000000000001E-2</v>
      </c>
      <c r="AB168" s="27">
        <v>3.4000000000000002E-2</v>
      </c>
      <c r="AC168" s="27">
        <v>3.4000000000000002E-2</v>
      </c>
      <c r="AD168" s="27">
        <f t="shared" si="23"/>
        <v>5.1000000000000004E-2</v>
      </c>
      <c r="AE168" s="27">
        <v>0</v>
      </c>
      <c r="AF168" s="3" t="s">
        <v>129</v>
      </c>
      <c r="AG168" s="3" t="s">
        <v>130</v>
      </c>
      <c r="AH168" s="3" t="s">
        <v>131</v>
      </c>
      <c r="AI168" s="3">
        <v>12</v>
      </c>
      <c r="AJ168" s="3">
        <v>71</v>
      </c>
      <c r="AK168" s="3">
        <v>45</v>
      </c>
      <c r="AL168" s="3" t="s">
        <v>132</v>
      </c>
      <c r="AM168" s="3">
        <v>151</v>
      </c>
      <c r="AN168" s="3">
        <v>86</v>
      </c>
      <c r="AO168" s="3">
        <v>25</v>
      </c>
      <c r="AP168" s="3">
        <v>42</v>
      </c>
      <c r="AQ168" s="3">
        <v>39</v>
      </c>
      <c r="AR168" s="3">
        <v>98</v>
      </c>
      <c r="AS168" s="3">
        <v>33</v>
      </c>
      <c r="AT168" s="3">
        <v>83</v>
      </c>
      <c r="AU168" s="3">
        <v>76</v>
      </c>
      <c r="AV168" s="3">
        <v>95</v>
      </c>
      <c r="AW168" s="3">
        <v>59</v>
      </c>
      <c r="AX168" s="3">
        <v>74</v>
      </c>
      <c r="AY168" s="30">
        <f t="shared" si="22"/>
        <v>2.2881990323443886</v>
      </c>
      <c r="AZ168" s="31">
        <f t="shared" si="20"/>
        <v>2.2274561831886168</v>
      </c>
      <c r="BA168" s="3">
        <v>24</v>
      </c>
      <c r="BB168" s="3">
        <v>80</v>
      </c>
      <c r="BC168" s="3">
        <v>12</v>
      </c>
      <c r="BD168" s="3">
        <v>80</v>
      </c>
      <c r="BE168" s="3">
        <v>12</v>
      </c>
      <c r="BF168" s="3">
        <v>80</v>
      </c>
      <c r="BG168" s="187">
        <v>22</v>
      </c>
      <c r="BH168" s="188">
        <v>73</v>
      </c>
      <c r="BI168" s="188">
        <v>29</v>
      </c>
      <c r="BJ168" s="189">
        <v>97</v>
      </c>
      <c r="BK168" s="3">
        <v>48</v>
      </c>
      <c r="BL168" s="3">
        <v>75</v>
      </c>
      <c r="BM168" s="3">
        <v>140</v>
      </c>
      <c r="BN168" s="3">
        <v>76</v>
      </c>
      <c r="BO168" s="21">
        <f t="shared" si="24"/>
        <v>68.627450980392155</v>
      </c>
      <c r="BP168" s="3">
        <v>47</v>
      </c>
      <c r="BQ168" s="3">
        <v>90</v>
      </c>
      <c r="BR168" s="3" t="s">
        <v>133</v>
      </c>
      <c r="BS168" s="3">
        <v>3.6</v>
      </c>
      <c r="BT168" s="3">
        <v>34</v>
      </c>
      <c r="BU168" s="3">
        <v>85</v>
      </c>
      <c r="BV168" s="3">
        <v>2</v>
      </c>
      <c r="BW168" s="3">
        <v>37</v>
      </c>
      <c r="BX168" s="3">
        <v>93</v>
      </c>
      <c r="BY168" s="3">
        <v>3</v>
      </c>
      <c r="BZ168" s="3" t="s">
        <v>134</v>
      </c>
      <c r="CA168" s="3" t="s">
        <v>134</v>
      </c>
      <c r="CB168" s="33">
        <v>9</v>
      </c>
      <c r="CC168" s="34">
        <v>5.1428571428571428E-2</v>
      </c>
      <c r="CD168" s="3">
        <v>86</v>
      </c>
      <c r="CE168" s="3">
        <v>94</v>
      </c>
      <c r="CF168" s="3">
        <v>91</v>
      </c>
      <c r="CG168" s="3">
        <v>80</v>
      </c>
      <c r="CH168" s="3" t="s">
        <v>140</v>
      </c>
      <c r="CI168" s="3" t="s">
        <v>136</v>
      </c>
      <c r="CJ168" s="3" t="s">
        <v>136</v>
      </c>
      <c r="CK168" s="49" t="s">
        <v>163</v>
      </c>
      <c r="CL168" s="1" t="s">
        <v>151</v>
      </c>
      <c r="CM168" s="3" t="s">
        <v>218</v>
      </c>
      <c r="CN168" s="3" t="s">
        <v>188</v>
      </c>
      <c r="CO168" s="171"/>
      <c r="CP168" s="171"/>
      <c r="CQ168" s="171"/>
      <c r="CR168" s="1" t="s">
        <v>138</v>
      </c>
      <c r="CS168" s="1" t="s">
        <v>138</v>
      </c>
      <c r="CT168" s="1" t="s">
        <v>138</v>
      </c>
      <c r="CU168" s="1" t="s">
        <v>138</v>
      </c>
      <c r="CV168" s="1" t="s">
        <v>138</v>
      </c>
      <c r="CW168" s="1" t="s">
        <v>138</v>
      </c>
    </row>
    <row r="169" spans="1:192" ht="15.75" customHeight="1">
      <c r="A169" s="4"/>
      <c r="B169" s="72"/>
      <c r="C169" s="23"/>
      <c r="G169" s="23"/>
      <c r="H169" s="23"/>
      <c r="J169" s="23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160"/>
      <c r="X169" s="26"/>
      <c r="Z169" s="26"/>
      <c r="AA169" s="26"/>
      <c r="AB169" s="26"/>
      <c r="AC169" s="26"/>
      <c r="AD169" s="26"/>
      <c r="AE169" s="26"/>
      <c r="AF169" s="51"/>
      <c r="AG169" s="51"/>
      <c r="AH169" s="23"/>
      <c r="AI169" s="23"/>
      <c r="AJ169" s="23"/>
      <c r="AK169" s="23"/>
      <c r="AN169" s="23"/>
      <c r="AP169" s="23"/>
      <c r="AR169" s="23"/>
      <c r="AT169" s="23"/>
      <c r="AV169" s="23"/>
      <c r="AX169" s="23"/>
      <c r="AY169" s="30"/>
      <c r="AZ169" s="30"/>
      <c r="BB169" s="23"/>
      <c r="BD169" s="23"/>
      <c r="BF169" s="23"/>
      <c r="BH169" s="23"/>
      <c r="BJ169" s="23"/>
      <c r="BL169" s="23"/>
      <c r="BO169" s="21"/>
      <c r="BQ169" s="23"/>
      <c r="BU169" s="23"/>
      <c r="BV169" s="170"/>
      <c r="BX169" s="23"/>
      <c r="BY169" s="23"/>
      <c r="CH169" s="1"/>
      <c r="CJ169" s="49"/>
      <c r="CK169" s="49"/>
      <c r="CO169" s="112"/>
      <c r="CP169" s="112"/>
      <c r="CQ169" s="112"/>
      <c r="CS169" s="1"/>
      <c r="CT169" s="3"/>
    </row>
    <row r="170" spans="1:192" ht="15.75" customHeight="1">
      <c r="A170" s="4"/>
      <c r="B170" s="72"/>
      <c r="C170" s="23"/>
      <c r="G170" s="23"/>
      <c r="H170" s="23"/>
      <c r="J170" s="23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160"/>
      <c r="X170" s="26"/>
      <c r="Z170" s="26"/>
      <c r="AA170" s="26"/>
      <c r="AB170" s="26"/>
      <c r="AC170" s="26"/>
      <c r="AD170" s="26"/>
      <c r="AE170" s="26"/>
      <c r="AF170" s="51"/>
      <c r="AG170" s="51"/>
      <c r="AH170" s="23"/>
      <c r="AI170" s="23"/>
      <c r="AJ170" s="23"/>
      <c r="AK170" s="23"/>
      <c r="AN170" s="23"/>
      <c r="AP170" s="23"/>
      <c r="AR170" s="23"/>
      <c r="AT170" s="23"/>
      <c r="AV170" s="23"/>
      <c r="AX170" s="23"/>
      <c r="AY170" s="30"/>
      <c r="AZ170" s="30"/>
      <c r="BB170" s="23"/>
      <c r="BD170" s="23"/>
      <c r="BF170" s="23"/>
      <c r="BH170" s="23"/>
      <c r="BJ170" s="23"/>
      <c r="BL170" s="23"/>
      <c r="BO170" s="21"/>
      <c r="BQ170" s="23"/>
      <c r="BU170" s="23"/>
      <c r="BV170" s="170"/>
      <c r="BX170" s="23"/>
      <c r="BY170" s="23"/>
      <c r="CH170" s="1"/>
      <c r="CJ170" s="49"/>
      <c r="CK170" s="49"/>
      <c r="CO170" s="112"/>
      <c r="CP170" s="112"/>
      <c r="CQ170" s="112"/>
      <c r="CS170" s="1"/>
      <c r="CT170" s="3"/>
    </row>
    <row r="171" spans="1:192">
      <c r="A171" s="4"/>
      <c r="B171" s="72"/>
      <c r="C171" s="23"/>
      <c r="G171" s="23"/>
      <c r="H171" s="23"/>
      <c r="J171" s="23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160"/>
      <c r="X171" s="26"/>
      <c r="Z171" s="26"/>
      <c r="AA171" s="26"/>
      <c r="AB171" s="26"/>
      <c r="AC171" s="26"/>
      <c r="AD171" s="26"/>
      <c r="AE171" s="26"/>
      <c r="AF171" s="51"/>
      <c r="AG171" s="51"/>
      <c r="AH171" s="23"/>
      <c r="AI171" s="23"/>
      <c r="AJ171" s="23"/>
      <c r="AK171" s="23"/>
      <c r="AN171" s="23"/>
      <c r="AP171" s="23"/>
      <c r="AR171" s="23"/>
      <c r="AT171" s="23"/>
      <c r="AV171" s="23"/>
      <c r="AX171" s="23"/>
      <c r="AY171" s="30"/>
      <c r="AZ171" s="30"/>
      <c r="BB171" s="23"/>
      <c r="BD171" s="23"/>
      <c r="BF171" s="23"/>
      <c r="BH171" s="23"/>
      <c r="BJ171" s="23"/>
      <c r="BL171" s="23"/>
      <c r="BO171" s="21"/>
      <c r="BQ171" s="23"/>
      <c r="BU171" s="23"/>
      <c r="BV171" s="170"/>
      <c r="BX171" s="23"/>
      <c r="BY171" s="23"/>
      <c r="CH171" s="1"/>
      <c r="CJ171" s="49"/>
      <c r="CK171" s="49"/>
      <c r="CO171" s="112"/>
      <c r="CP171" s="112"/>
      <c r="CQ171" s="112"/>
      <c r="CS171" s="1"/>
      <c r="CT171" s="3"/>
    </row>
    <row r="172" spans="1:192" s="2" customFormat="1" ht="15.75" customHeight="1">
      <c r="A172" s="4"/>
      <c r="B172" s="72"/>
      <c r="C172" s="23"/>
      <c r="D172" s="3"/>
      <c r="E172" s="3"/>
      <c r="F172" s="3"/>
      <c r="G172" s="23"/>
      <c r="H172" s="23"/>
      <c r="I172" s="35"/>
      <c r="J172" s="23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160"/>
      <c r="X172" s="26"/>
      <c r="Y172" s="52"/>
      <c r="Z172" s="26"/>
      <c r="AA172" s="26"/>
      <c r="AB172" s="26"/>
      <c r="AC172" s="26"/>
      <c r="AD172" s="26"/>
      <c r="AE172" s="26"/>
      <c r="AF172" s="51"/>
      <c r="AG172" s="51"/>
      <c r="AH172" s="23"/>
      <c r="AI172" s="23"/>
      <c r="AJ172" s="23"/>
      <c r="AK172" s="23"/>
      <c r="AL172" s="3"/>
      <c r="AM172" s="3"/>
      <c r="AN172" s="23"/>
      <c r="AO172" s="3"/>
      <c r="AP172" s="23"/>
      <c r="AQ172" s="3"/>
      <c r="AR172" s="23"/>
      <c r="AS172" s="3"/>
      <c r="AT172" s="23"/>
      <c r="AU172" s="3"/>
      <c r="AV172" s="23"/>
      <c r="AW172" s="3"/>
      <c r="AX172" s="23"/>
      <c r="AY172" s="30"/>
      <c r="AZ172" s="30"/>
      <c r="BA172" s="3"/>
      <c r="BB172" s="23"/>
      <c r="BC172" s="3"/>
      <c r="BD172" s="23"/>
      <c r="BE172" s="3"/>
      <c r="BF172" s="23"/>
      <c r="BG172" s="3"/>
      <c r="BH172" s="23"/>
      <c r="BI172" s="3"/>
      <c r="BJ172" s="23"/>
      <c r="BK172" s="3"/>
      <c r="BL172" s="23"/>
      <c r="BM172" s="3"/>
      <c r="BN172" s="3"/>
      <c r="BO172" s="21"/>
      <c r="BP172" s="3"/>
      <c r="BQ172" s="23"/>
      <c r="BR172" s="3"/>
      <c r="BS172" s="3"/>
      <c r="BT172" s="3"/>
      <c r="BU172" s="23"/>
      <c r="BV172" s="170"/>
      <c r="BW172" s="3"/>
      <c r="BX172" s="23"/>
      <c r="BY172" s="23"/>
      <c r="BZ172" s="3"/>
      <c r="CA172" s="3"/>
      <c r="CB172" s="159"/>
      <c r="CC172" s="159"/>
      <c r="CD172" s="3"/>
      <c r="CE172" s="3"/>
      <c r="CF172" s="3"/>
      <c r="CG172" s="3"/>
      <c r="CH172" s="1"/>
      <c r="CI172" s="3"/>
      <c r="CJ172" s="49"/>
      <c r="CK172" s="49"/>
      <c r="CL172" s="3"/>
      <c r="CM172" s="3"/>
      <c r="CN172" s="3"/>
      <c r="CO172" s="112"/>
      <c r="CP172" s="112"/>
      <c r="CQ172" s="112"/>
      <c r="CR172" s="3"/>
      <c r="CS172" s="1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5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  <c r="FT172" s="3"/>
      <c r="FU172" s="3"/>
      <c r="FV172" s="3"/>
      <c r="FW172" s="3"/>
      <c r="FX172" s="3"/>
      <c r="FY172" s="3"/>
      <c r="FZ172" s="3"/>
      <c r="GA172" s="3"/>
      <c r="GB172" s="3"/>
      <c r="GC172" s="3"/>
      <c r="GD172" s="3"/>
      <c r="GE172" s="3"/>
      <c r="GF172" s="3"/>
      <c r="GG172" s="3"/>
      <c r="GH172" s="3"/>
      <c r="GI172" s="3"/>
      <c r="GJ172" s="3"/>
    </row>
    <row r="173" spans="1:192" ht="15" customHeight="1">
      <c r="K173" s="3"/>
      <c r="L173" s="3"/>
      <c r="M173" s="3"/>
      <c r="N173" s="3"/>
      <c r="O173" s="3"/>
      <c r="CQ173" s="3">
        <f>SUM(CQ38:CQ172)</f>
        <v>29</v>
      </c>
    </row>
    <row r="174" spans="1:192" ht="15" customHeight="1">
      <c r="K174" s="3"/>
      <c r="L174" s="3"/>
      <c r="M174" s="3"/>
      <c r="N174" s="3"/>
      <c r="O174" s="3"/>
      <c r="CQ174" s="3">
        <f>52-6</f>
        <v>46</v>
      </c>
    </row>
    <row r="175" spans="1:192" s="2" customFormat="1" ht="15" customHeight="1">
      <c r="A175" s="3"/>
      <c r="B175" s="3"/>
      <c r="C175" s="3"/>
      <c r="D175" s="3"/>
      <c r="E175" s="3"/>
      <c r="F175" s="3"/>
      <c r="G175" s="3"/>
      <c r="H175" s="3"/>
      <c r="I175" s="35"/>
      <c r="J175" s="3"/>
      <c r="K175" s="3"/>
      <c r="L175" s="3"/>
      <c r="M175" s="3"/>
      <c r="N175" s="3"/>
      <c r="O175" s="3"/>
      <c r="P175" s="27"/>
      <c r="Q175" s="27"/>
      <c r="R175" s="27"/>
      <c r="S175" s="27"/>
      <c r="T175" s="27"/>
      <c r="U175" s="27"/>
      <c r="V175" s="27"/>
      <c r="W175" s="52"/>
      <c r="X175" s="27"/>
      <c r="Y175" s="52"/>
      <c r="Z175" s="27"/>
      <c r="AA175" s="27"/>
      <c r="AB175" s="27"/>
      <c r="AC175" s="27"/>
      <c r="AD175" s="27"/>
      <c r="AE175" s="27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174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175"/>
      <c r="CB175" s="159"/>
      <c r="CC175" s="159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/>
      <c r="CT175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5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  <c r="FX175" s="3"/>
      <c r="FY175" s="3"/>
      <c r="FZ175" s="3"/>
      <c r="GA175" s="3"/>
      <c r="GB175" s="3"/>
      <c r="GC175" s="3"/>
      <c r="GD175" s="3"/>
      <c r="GE175" s="3"/>
      <c r="GF175" s="3"/>
      <c r="GG175" s="3"/>
      <c r="GH175" s="3"/>
      <c r="GI175" s="3"/>
      <c r="GJ175" s="3"/>
    </row>
    <row r="176" spans="1:192" ht="15.75" customHeight="1">
      <c r="A176" s="4"/>
      <c r="B176" s="72"/>
      <c r="C176" s="23"/>
      <c r="G176" s="23"/>
      <c r="H176" s="23"/>
      <c r="J176" s="23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160"/>
      <c r="X176" s="26"/>
      <c r="Z176" s="26"/>
      <c r="AA176" s="26"/>
      <c r="AB176" s="26"/>
      <c r="AC176" s="26"/>
      <c r="AD176" s="26"/>
      <c r="AE176" s="26"/>
      <c r="AF176" s="51"/>
      <c r="AG176" s="51"/>
      <c r="AH176" s="23"/>
      <c r="AI176" s="23"/>
      <c r="AJ176" s="23"/>
      <c r="AK176" s="23"/>
      <c r="AN176" s="23"/>
      <c r="AP176" s="23"/>
      <c r="AR176" s="23"/>
      <c r="AT176" s="23"/>
      <c r="AV176" s="23"/>
      <c r="AX176" s="23"/>
      <c r="AY176" s="30"/>
      <c r="AZ176" s="30"/>
      <c r="BB176" s="23"/>
      <c r="BD176" s="23"/>
      <c r="BF176" s="23"/>
      <c r="BH176" s="23"/>
      <c r="BJ176" s="23"/>
      <c r="BL176" s="23"/>
      <c r="BO176" s="21"/>
      <c r="BQ176" s="23"/>
      <c r="BU176" s="23"/>
      <c r="BV176" s="170"/>
      <c r="BX176" s="23"/>
      <c r="BY176" s="23"/>
      <c r="CH176" s="1"/>
      <c r="CJ176" s="49"/>
      <c r="CK176" s="49"/>
      <c r="CO176" s="112"/>
      <c r="CP176" s="112"/>
      <c r="CQ176" s="112"/>
      <c r="CS176" s="1"/>
      <c r="CT176" s="3"/>
    </row>
    <row r="177" spans="1:192">
      <c r="K177" s="3"/>
      <c r="L177" s="3"/>
      <c r="M177" s="3"/>
      <c r="N177" s="3"/>
      <c r="O177" s="3"/>
    </row>
    <row r="178" spans="1:192">
      <c r="A178" s="4"/>
      <c r="B178" s="72"/>
      <c r="C178" s="23"/>
      <c r="G178" s="23"/>
      <c r="H178" s="23"/>
      <c r="J178" s="23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160"/>
      <c r="X178" s="26"/>
      <c r="Z178" s="26"/>
      <c r="AA178" s="26"/>
      <c r="AB178" s="26"/>
      <c r="AC178" s="26"/>
      <c r="AD178" s="26"/>
      <c r="AE178" s="26"/>
      <c r="AF178" s="51"/>
      <c r="AG178" s="51"/>
      <c r="AH178" s="23"/>
      <c r="AI178" s="23"/>
      <c r="AJ178" s="23"/>
      <c r="AK178" s="23"/>
      <c r="AN178" s="23"/>
      <c r="AP178" s="23"/>
      <c r="AR178" s="23"/>
      <c r="AT178" s="23"/>
      <c r="AV178" s="23"/>
      <c r="AX178" s="23"/>
      <c r="AY178" s="30"/>
      <c r="AZ178" s="30"/>
      <c r="BB178" s="23"/>
      <c r="BD178" s="23"/>
      <c r="BF178" s="23"/>
      <c r="BH178" s="23"/>
      <c r="BJ178" s="23"/>
      <c r="BL178" s="23"/>
      <c r="BO178" s="21"/>
      <c r="BQ178" s="23"/>
      <c r="BU178" s="23"/>
      <c r="BV178" s="170"/>
      <c r="BX178" s="23"/>
      <c r="BY178" s="23"/>
      <c r="CH178" s="1"/>
      <c r="CJ178" s="49"/>
      <c r="CK178" s="49"/>
      <c r="CO178" s="112"/>
      <c r="CP178" s="112"/>
      <c r="CQ178" s="112"/>
      <c r="CS178" s="1"/>
      <c r="CT178" s="3"/>
    </row>
    <row r="179" spans="1:192" s="13" customFormat="1" ht="15" customHeight="1">
      <c r="A179" s="3"/>
      <c r="B179" s="3"/>
      <c r="C179" s="3"/>
      <c r="D179" s="3"/>
      <c r="E179" s="3"/>
      <c r="F179" s="3"/>
      <c r="G179" s="3"/>
      <c r="H179" s="3"/>
      <c r="I179" s="35"/>
      <c r="J179" s="3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52"/>
      <c r="X179" s="27"/>
      <c r="Y179" s="52"/>
      <c r="Z179" s="27"/>
      <c r="AA179" s="27"/>
      <c r="AB179" s="27"/>
      <c r="AC179" s="27"/>
      <c r="AD179" s="27"/>
      <c r="AE179" s="27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174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159"/>
      <c r="CC179" s="159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/>
      <c r="CT179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5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  <c r="FM179" s="3"/>
      <c r="FN179" s="3"/>
      <c r="FO179" s="3"/>
      <c r="FP179" s="3"/>
      <c r="FQ179" s="3"/>
      <c r="FR179" s="3"/>
      <c r="FS179" s="3"/>
      <c r="FT179" s="3"/>
      <c r="FU179" s="3"/>
      <c r="FV179" s="3"/>
      <c r="FW179" s="3"/>
      <c r="FX179" s="3"/>
      <c r="FY179" s="3"/>
      <c r="FZ179" s="3"/>
      <c r="GA179" s="3"/>
      <c r="GB179" s="3"/>
      <c r="GC179" s="3"/>
      <c r="GD179" s="3"/>
      <c r="GE179" s="3"/>
      <c r="GF179" s="3"/>
      <c r="GG179" s="3"/>
      <c r="GH179" s="3"/>
      <c r="GI179" s="3"/>
      <c r="GJ179" s="3"/>
    </row>
    <row r="180" spans="1:192" s="158" customFormat="1" ht="30.75" customHeight="1">
      <c r="A180" s="191"/>
      <c r="B180" s="176"/>
      <c r="C180" s="177"/>
      <c r="D180" s="177"/>
      <c r="E180" s="177"/>
      <c r="F180" s="177"/>
      <c r="G180" s="177"/>
      <c r="H180" s="177"/>
      <c r="I180" s="178"/>
      <c r="J180" s="177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79"/>
      <c r="V180" s="179"/>
      <c r="W180" s="180"/>
      <c r="X180" s="179"/>
      <c r="Y180" s="180"/>
      <c r="Z180" s="179"/>
      <c r="AA180" s="179"/>
      <c r="AB180" s="179"/>
      <c r="AC180" s="179"/>
      <c r="AD180" s="179"/>
      <c r="AE180" s="179"/>
      <c r="AF180" s="177"/>
      <c r="AG180" s="177"/>
      <c r="AH180" s="177"/>
      <c r="AI180" s="177"/>
      <c r="AJ180" s="177"/>
      <c r="AK180" s="177"/>
      <c r="AL180" s="177"/>
      <c r="AM180" s="177"/>
      <c r="AN180" s="177"/>
      <c r="AO180" s="177"/>
      <c r="AP180" s="177"/>
      <c r="AQ180" s="177"/>
      <c r="AR180" s="177"/>
      <c r="AS180" s="177"/>
      <c r="AT180" s="177"/>
      <c r="AU180" s="177"/>
      <c r="AV180" s="177"/>
      <c r="AW180" s="177"/>
      <c r="AX180" s="177"/>
      <c r="AY180" s="181"/>
      <c r="AZ180" s="181"/>
      <c r="BA180" s="177"/>
      <c r="BB180" s="177"/>
      <c r="BC180" s="177"/>
      <c r="BD180" s="177"/>
      <c r="BE180" s="177"/>
      <c r="BF180" s="177"/>
      <c r="BG180" s="177"/>
      <c r="BH180" s="177"/>
      <c r="BI180" s="177"/>
      <c r="BJ180" s="177"/>
      <c r="BK180" s="177"/>
      <c r="BL180" s="177"/>
      <c r="BM180" s="177"/>
      <c r="BN180" s="177"/>
      <c r="BO180" s="182"/>
      <c r="BP180" s="177"/>
      <c r="BQ180" s="177"/>
      <c r="BR180" s="177"/>
      <c r="BS180" s="177"/>
      <c r="BT180" s="177"/>
      <c r="BU180" s="177"/>
      <c r="BV180" s="177"/>
      <c r="BW180" s="177"/>
      <c r="BX180" s="177"/>
      <c r="BY180" s="177"/>
      <c r="BZ180" s="177"/>
      <c r="CA180" s="177"/>
      <c r="CB180" s="183"/>
      <c r="CC180" s="183"/>
      <c r="CD180" s="177"/>
      <c r="CE180" s="177"/>
      <c r="CF180" s="177"/>
      <c r="CG180" s="177"/>
      <c r="CH180" s="177"/>
      <c r="CI180" s="177"/>
      <c r="CJ180" s="177"/>
      <c r="CK180" s="184"/>
      <c r="CL180" s="184"/>
      <c r="CM180" s="177"/>
      <c r="CN180" s="177"/>
      <c r="CO180" s="177"/>
      <c r="CP180" s="177"/>
      <c r="CQ180" s="177"/>
      <c r="CR180" s="185"/>
      <c r="CS180" s="186"/>
      <c r="CT180" s="186"/>
      <c r="CU180" s="177"/>
      <c r="CV180" s="177"/>
      <c r="CW180" s="177"/>
      <c r="CX180" s="177"/>
      <c r="CY180" s="177"/>
      <c r="CZ180" s="177"/>
      <c r="DA180" s="177"/>
      <c r="DB180" s="177"/>
      <c r="DC180" s="177"/>
      <c r="DD180" s="177"/>
      <c r="DE180" s="177"/>
      <c r="DF180" s="177"/>
      <c r="DG180" s="177"/>
      <c r="DH180" s="177"/>
      <c r="DI180" s="177"/>
      <c r="DJ180" s="178"/>
      <c r="DK180" s="177"/>
      <c r="DL180" s="177"/>
      <c r="DM180" s="177"/>
      <c r="DN180" s="177"/>
      <c r="DO180" s="177"/>
      <c r="DP180" s="177"/>
      <c r="DQ180" s="177"/>
      <c r="DR180" s="177"/>
      <c r="DS180" s="177"/>
      <c r="DT180" s="177"/>
      <c r="DU180" s="177"/>
      <c r="DV180" s="177"/>
      <c r="DW180" s="177"/>
      <c r="DX180" s="177"/>
      <c r="DY180" s="177"/>
      <c r="DZ180" s="177"/>
      <c r="EA180" s="177"/>
      <c r="EB180" s="177"/>
      <c r="EC180" s="177"/>
      <c r="ED180" s="177"/>
      <c r="EE180" s="177"/>
      <c r="EF180" s="177"/>
      <c r="EG180" s="177"/>
      <c r="EH180" s="177"/>
      <c r="EI180" s="177"/>
      <c r="EJ180" s="177"/>
      <c r="EK180" s="177"/>
      <c r="EL180" s="177"/>
      <c r="EM180" s="177"/>
      <c r="EN180" s="177"/>
      <c r="EO180" s="177"/>
      <c r="EP180" s="177"/>
      <c r="EQ180" s="177"/>
      <c r="ER180" s="177"/>
      <c r="ES180" s="177"/>
      <c r="ET180" s="177"/>
      <c r="EU180" s="177"/>
      <c r="EV180" s="177"/>
      <c r="EW180" s="177"/>
      <c r="EX180" s="177"/>
      <c r="EY180" s="177"/>
      <c r="EZ180" s="177"/>
      <c r="FA180" s="177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</row>
    <row r="181" spans="1:192">
      <c r="B181" s="23"/>
      <c r="AF181" s="27"/>
      <c r="BO181" s="3"/>
      <c r="CS181" s="3"/>
      <c r="CT181" s="3"/>
    </row>
    <row r="182" spans="1:192">
      <c r="B182" s="23"/>
      <c r="AF182" s="27"/>
      <c r="BO182" s="3"/>
      <c r="CS182" s="3"/>
      <c r="CT182" s="3"/>
    </row>
    <row r="183" spans="1:192">
      <c r="B183" s="23"/>
      <c r="AF183" s="27"/>
      <c r="BO183" s="3"/>
      <c r="CS183" s="3"/>
      <c r="CT183" s="3"/>
    </row>
    <row r="184" spans="1:192">
      <c r="B184" s="23"/>
      <c r="AF184" s="27"/>
      <c r="BO184" s="3"/>
      <c r="CS184" s="3"/>
      <c r="CT184" s="3"/>
    </row>
    <row r="185" spans="1:192">
      <c r="B185" s="23"/>
      <c r="AF185" s="27"/>
      <c r="BO185" s="3"/>
      <c r="CS185" s="3"/>
      <c r="CT185" s="3"/>
    </row>
    <row r="186" spans="1:192">
      <c r="B186" s="23"/>
      <c r="AF186" s="27"/>
      <c r="BO186" s="3"/>
      <c r="CS186" s="3"/>
      <c r="CT186" s="3"/>
    </row>
    <row r="187" spans="1:192">
      <c r="B187" s="23"/>
      <c r="AF187" s="27"/>
      <c r="BO187" s="3"/>
      <c r="CS187" s="3"/>
      <c r="CT187" s="3"/>
    </row>
    <row r="188" spans="1:192">
      <c r="B188" s="23"/>
      <c r="AF188" s="27"/>
      <c r="BO188" s="3"/>
      <c r="CS188" s="3"/>
      <c r="CT188" s="3"/>
    </row>
    <row r="189" spans="1:192">
      <c r="B189" s="23"/>
      <c r="AF189" s="27"/>
      <c r="BO189" s="3"/>
      <c r="CS189" s="3"/>
      <c r="CT189" s="3"/>
    </row>
    <row r="190" spans="1:192">
      <c r="B190" s="23"/>
      <c r="AF190" s="27"/>
      <c r="BO190" s="3"/>
      <c r="CS190" s="3"/>
      <c r="CT190" s="3"/>
    </row>
    <row r="191" spans="1:192">
      <c r="B191" s="23"/>
      <c r="AF191" s="27"/>
      <c r="BO191" s="3"/>
      <c r="CS191" s="3"/>
      <c r="CT191" s="3"/>
    </row>
    <row r="192" spans="1:192">
      <c r="B192" s="23"/>
      <c r="AF192" s="27"/>
      <c r="BO192" s="3"/>
      <c r="CS192" s="3"/>
      <c r="CT192" s="3"/>
    </row>
    <row r="193" spans="2:98">
      <c r="B193" s="23"/>
      <c r="AF193" s="27"/>
      <c r="BO193" s="3"/>
      <c r="CS193" s="3"/>
      <c r="CT193" s="3"/>
    </row>
    <row r="194" spans="2:98">
      <c r="B194" s="23"/>
      <c r="AF194" s="27"/>
      <c r="BO194" s="3"/>
      <c r="CS194" s="3"/>
      <c r="CT194" s="3"/>
    </row>
    <row r="195" spans="2:98">
      <c r="B195" s="23"/>
      <c r="AF195" s="27"/>
      <c r="BO195" s="3"/>
      <c r="CS195" s="3"/>
      <c r="CT195" s="3"/>
    </row>
    <row r="196" spans="2:98">
      <c r="B196" s="23"/>
      <c r="AF196" s="27"/>
      <c r="BO196" s="3"/>
      <c r="CS196" s="3"/>
      <c r="CT196" s="3"/>
    </row>
    <row r="197" spans="2:98">
      <c r="B197" s="23"/>
      <c r="AF197" s="27"/>
      <c r="BO197" s="3"/>
      <c r="CS197" s="3"/>
      <c r="CT197" s="3"/>
    </row>
    <row r="198" spans="2:98">
      <c r="B198" s="23"/>
      <c r="AF198" s="27"/>
      <c r="BO198" s="3"/>
      <c r="CS198" s="3"/>
      <c r="CT198" s="3"/>
    </row>
    <row r="199" spans="2:98">
      <c r="B199" s="23"/>
      <c r="AF199" s="27"/>
      <c r="BO199" s="3"/>
      <c r="CS199" s="3"/>
      <c r="CT199" s="3"/>
    </row>
    <row r="200" spans="2:98">
      <c r="B200" s="23"/>
      <c r="AF200" s="27"/>
      <c r="BO200" s="3"/>
      <c r="CS200" s="3"/>
      <c r="CT200" s="3"/>
    </row>
    <row r="201" spans="2:98">
      <c r="B201" s="23"/>
      <c r="AF201" s="27"/>
      <c r="BO201" s="3"/>
      <c r="CS201" s="3"/>
      <c r="CT201" s="3"/>
    </row>
    <row r="202" spans="2:98">
      <c r="B202" s="23"/>
      <c r="AF202" s="27"/>
      <c r="BO202" s="3"/>
      <c r="CS202" s="3"/>
      <c r="CT202" s="3"/>
    </row>
    <row r="203" spans="2:98">
      <c r="B203" s="23"/>
      <c r="AF203" s="27"/>
      <c r="BO203" s="3"/>
      <c r="CS203" s="3"/>
      <c r="CT203" s="3"/>
    </row>
    <row r="204" spans="2:98">
      <c r="B204" s="23"/>
      <c r="AF204" s="27"/>
      <c r="BO204" s="3"/>
      <c r="CS204" s="3"/>
      <c r="CT204" s="3"/>
    </row>
    <row r="205" spans="2:98">
      <c r="B205" s="23"/>
      <c r="AF205" s="27"/>
      <c r="BO205" s="3"/>
      <c r="CS205" s="3"/>
      <c r="CT205" s="3"/>
    </row>
    <row r="206" spans="2:98">
      <c r="B206" s="23"/>
      <c r="AF206" s="27"/>
      <c r="BO206" s="3"/>
      <c r="CS206" s="3"/>
      <c r="CT206" s="3"/>
    </row>
    <row r="207" spans="2:98">
      <c r="B207" s="23"/>
      <c r="AF207" s="27"/>
      <c r="BO207" s="3"/>
      <c r="CS207" s="3"/>
      <c r="CT207" s="3"/>
    </row>
    <row r="208" spans="2:98">
      <c r="B208" s="23"/>
      <c r="AF208" s="27"/>
      <c r="BO208" s="3"/>
      <c r="CS208" s="3"/>
      <c r="CT208" s="3"/>
    </row>
    <row r="209" spans="2:98">
      <c r="B209" s="23"/>
      <c r="AF209" s="27"/>
      <c r="BO209" s="3"/>
      <c r="CS209" s="3"/>
      <c r="CT209" s="3"/>
    </row>
    <row r="210" spans="2:98">
      <c r="B210" s="23"/>
      <c r="AF210" s="27"/>
      <c r="BO210" s="3"/>
      <c r="CS210" s="3"/>
      <c r="CT210" s="3"/>
    </row>
    <row r="211" spans="2:98">
      <c r="B211" s="23"/>
      <c r="AF211" s="27"/>
      <c r="BO211" s="3"/>
      <c r="CS211" s="3"/>
      <c r="CT211" s="3"/>
    </row>
    <row r="212" spans="2:98">
      <c r="B212" s="23"/>
      <c r="AF212" s="27"/>
      <c r="BO212" s="3"/>
      <c r="CS212" s="3"/>
      <c r="CT212" s="3"/>
    </row>
    <row r="213" spans="2:98">
      <c r="B213" s="23"/>
      <c r="AF213" s="27"/>
      <c r="BO213" s="3"/>
      <c r="CS213" s="3"/>
      <c r="CT213" s="3"/>
    </row>
    <row r="214" spans="2:98">
      <c r="B214" s="23"/>
      <c r="AF214" s="27"/>
      <c r="BO214" s="3"/>
      <c r="CS214" s="3"/>
      <c r="CT214" s="3"/>
    </row>
    <row r="215" spans="2:98">
      <c r="B215" s="23"/>
      <c r="AF215" s="27"/>
      <c r="BO215" s="3"/>
      <c r="CS215" s="3"/>
      <c r="CT215" s="3"/>
    </row>
    <row r="216" spans="2:98">
      <c r="B216" s="23"/>
      <c r="AF216" s="27"/>
      <c r="BO216" s="3"/>
      <c r="CS216" s="3"/>
      <c r="CT216" s="3"/>
    </row>
    <row r="217" spans="2:98">
      <c r="B217" s="23"/>
      <c r="AF217" s="27"/>
      <c r="BO217" s="3"/>
      <c r="CS217" s="3"/>
      <c r="CT217" s="3"/>
    </row>
    <row r="218" spans="2:98">
      <c r="B218" s="23"/>
      <c r="AF218" s="27"/>
      <c r="BO218" s="3"/>
      <c r="CS218" s="3"/>
      <c r="CT218" s="3"/>
    </row>
    <row r="219" spans="2:98">
      <c r="B219" s="23"/>
      <c r="AF219" s="27"/>
      <c r="BO219" s="3"/>
      <c r="CS219" s="3"/>
      <c r="CT219" s="3"/>
    </row>
    <row r="220" spans="2:98">
      <c r="B220" s="23"/>
      <c r="AF220" s="27"/>
      <c r="BO220" s="3"/>
      <c r="CS220" s="3"/>
      <c r="CT220" s="3"/>
    </row>
    <row r="221" spans="2:98">
      <c r="B221" s="2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27"/>
      <c r="BO221" s="3"/>
      <c r="CS221" s="3"/>
      <c r="CT221" s="3"/>
    </row>
    <row r="222" spans="2:98">
      <c r="B222" s="2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27"/>
      <c r="BO222" s="3"/>
      <c r="CS222" s="3"/>
      <c r="CT222" s="3"/>
    </row>
    <row r="223" spans="2:98">
      <c r="B223" s="2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27"/>
      <c r="BO223" s="3"/>
      <c r="CS223" s="3"/>
      <c r="CT223" s="3"/>
    </row>
    <row r="224" spans="2:98">
      <c r="B224" s="2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27"/>
      <c r="BO224" s="3"/>
      <c r="CS224" s="3"/>
      <c r="CT224" s="3"/>
    </row>
    <row r="225" spans="2:98">
      <c r="B225" s="2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27"/>
      <c r="BO225" s="3"/>
      <c r="CS225" s="3"/>
      <c r="CT225" s="3"/>
    </row>
    <row r="226" spans="2:98">
      <c r="B226" s="2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27"/>
      <c r="BO226" s="3"/>
      <c r="CS226" s="3"/>
      <c r="CT226" s="3"/>
    </row>
    <row r="227" spans="2:98">
      <c r="B227" s="2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27"/>
      <c r="BO227" s="3"/>
      <c r="CS227" s="3"/>
      <c r="CT227" s="3"/>
    </row>
    <row r="228" spans="2:98">
      <c r="B228" s="23"/>
    </row>
    <row r="229" spans="2:98">
      <c r="B229" s="23"/>
    </row>
    <row r="230" spans="2:98">
      <c r="B230" s="2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BO230" s="3"/>
      <c r="CS230" s="3"/>
      <c r="CT230" s="3"/>
    </row>
    <row r="231" spans="2:98">
      <c r="B231" s="2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BO231" s="3"/>
      <c r="CS231" s="3"/>
      <c r="CT231" s="3"/>
    </row>
    <row r="232" spans="2:98">
      <c r="B232" s="2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BO232" s="3"/>
      <c r="CS232" s="3"/>
      <c r="CT232" s="3"/>
    </row>
    <row r="233" spans="2:98">
      <c r="B233" s="2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BO233" s="3"/>
      <c r="CS233" s="3"/>
      <c r="CT233" s="3"/>
    </row>
    <row r="234" spans="2:98">
      <c r="B234" s="2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BO234" s="3"/>
      <c r="CS234" s="3"/>
      <c r="CT234" s="3"/>
    </row>
    <row r="235" spans="2:98">
      <c r="B235" s="2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BO235" s="3"/>
      <c r="CS235" s="3"/>
      <c r="CT235" s="3"/>
    </row>
    <row r="236" spans="2:98">
      <c r="B236" s="2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BO236" s="3"/>
      <c r="CS236" s="3"/>
      <c r="CT236" s="3"/>
    </row>
    <row r="237" spans="2:98">
      <c r="B237" s="2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BO237" s="3"/>
      <c r="CS237" s="3"/>
      <c r="CT237" s="3"/>
    </row>
    <row r="238" spans="2:98">
      <c r="B238" s="2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BO238" s="3"/>
      <c r="CS238" s="3"/>
      <c r="CT238" s="3"/>
    </row>
    <row r="239" spans="2:98">
      <c r="B239" s="2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BO239" s="3"/>
      <c r="CS239" s="3"/>
      <c r="CT239" s="3"/>
    </row>
    <row r="240" spans="2:98">
      <c r="B240" s="2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BO240" s="3"/>
      <c r="CS240" s="3"/>
      <c r="CT240" s="3"/>
    </row>
    <row r="241" spans="2:98">
      <c r="B241" s="2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BO241" s="3"/>
      <c r="CS241" s="3"/>
      <c r="CT241" s="3"/>
    </row>
    <row r="242" spans="2:98">
      <c r="B242" s="2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BO242" s="3"/>
      <c r="CS242" s="3"/>
      <c r="CT242" s="3"/>
    </row>
    <row r="243" spans="2:98">
      <c r="B243" s="2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BO243" s="3"/>
      <c r="CS243" s="3"/>
      <c r="CT243" s="3"/>
    </row>
    <row r="244" spans="2:98">
      <c r="B244" s="2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BO244" s="3"/>
      <c r="CS244" s="3"/>
      <c r="CT244" s="3"/>
    </row>
    <row r="245" spans="2:98">
      <c r="B245" s="2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BO245" s="3"/>
      <c r="CS245" s="3"/>
      <c r="CT245" s="3"/>
    </row>
    <row r="246" spans="2:98">
      <c r="B246" s="2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BO246" s="3"/>
      <c r="CS246" s="3"/>
      <c r="CT246" s="3"/>
    </row>
    <row r="247" spans="2:98">
      <c r="B247" s="2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BO247" s="3"/>
      <c r="CS247" s="3"/>
      <c r="CT247" s="3"/>
    </row>
    <row r="248" spans="2:98">
      <c r="B248" s="2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BO248" s="3"/>
      <c r="CS248" s="3"/>
      <c r="CT248" s="3"/>
    </row>
    <row r="249" spans="2:98">
      <c r="B249" s="2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BO249" s="3"/>
      <c r="CS249" s="3"/>
      <c r="CT249" s="3"/>
    </row>
    <row r="250" spans="2:98">
      <c r="B250" s="2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BO250" s="3"/>
      <c r="CS250" s="3"/>
      <c r="CT250" s="3"/>
    </row>
    <row r="251" spans="2:98">
      <c r="B251" s="2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BO251" s="3"/>
      <c r="CS251" s="3"/>
      <c r="CT251" s="3"/>
    </row>
    <row r="252" spans="2:98">
      <c r="B252" s="2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BO252" s="3"/>
      <c r="CS252" s="3"/>
      <c r="CT252" s="3"/>
    </row>
    <row r="253" spans="2:98">
      <c r="B253" s="2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BO253" s="3"/>
      <c r="CS253" s="3"/>
      <c r="CT253" s="3"/>
    </row>
    <row r="254" spans="2:98">
      <c r="B254" s="2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BO254" s="3"/>
      <c r="CS254" s="3"/>
      <c r="CT254" s="3"/>
    </row>
    <row r="255" spans="2:98">
      <c r="B255" s="2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BO255" s="3"/>
      <c r="CS255" s="3"/>
      <c r="CT255" s="3"/>
    </row>
    <row r="256" spans="2:98">
      <c r="B256" s="2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BO256" s="3"/>
      <c r="CS256" s="3"/>
      <c r="CT256" s="3"/>
    </row>
    <row r="257" spans="2:98">
      <c r="B257" s="2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BO257" s="3"/>
      <c r="CS257" s="3"/>
      <c r="CT257" s="3"/>
    </row>
    <row r="258" spans="2:98">
      <c r="B258" s="2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BO258" s="3"/>
      <c r="CS258" s="3"/>
      <c r="CT258" s="3"/>
    </row>
    <row r="259" spans="2:98">
      <c r="B259" s="2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BO259" s="3"/>
      <c r="CS259" s="3"/>
      <c r="CT259" s="3"/>
    </row>
    <row r="260" spans="2:98">
      <c r="B260" s="2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BO260" s="3"/>
      <c r="CS260" s="3"/>
      <c r="CT260" s="3"/>
    </row>
    <row r="261" spans="2:98">
      <c r="B261" s="2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BO261" s="3"/>
      <c r="CS261" s="3"/>
      <c r="CT261" s="3"/>
    </row>
    <row r="262" spans="2:98">
      <c r="B262" s="2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BO262" s="3"/>
      <c r="CS262" s="3"/>
      <c r="CT262" s="3"/>
    </row>
    <row r="263" spans="2:98">
      <c r="B263" s="2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BO263" s="3"/>
      <c r="CS263" s="3"/>
      <c r="CT263" s="3"/>
    </row>
    <row r="264" spans="2:98">
      <c r="B264" s="2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BO264" s="3"/>
      <c r="CS264" s="3"/>
      <c r="CT264" s="3"/>
    </row>
    <row r="265" spans="2:98">
      <c r="B265" s="2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BO265" s="3"/>
      <c r="CS265" s="3"/>
      <c r="CT265" s="3"/>
    </row>
    <row r="266" spans="2:98">
      <c r="B266" s="2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BO266" s="3"/>
      <c r="CS266" s="3"/>
      <c r="CT266" s="3"/>
    </row>
    <row r="267" spans="2:98">
      <c r="B267" s="2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BO267" s="3"/>
      <c r="CS267" s="3"/>
      <c r="CT267" s="3"/>
    </row>
    <row r="268" spans="2:98">
      <c r="B268" s="2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BO268" s="3"/>
      <c r="CS268" s="3"/>
      <c r="CT268" s="3"/>
    </row>
    <row r="269" spans="2:98">
      <c r="B269" s="2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BO269" s="3"/>
      <c r="CS269" s="3"/>
      <c r="CT269" s="3"/>
    </row>
    <row r="270" spans="2:98">
      <c r="B270" s="2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BO270" s="3"/>
      <c r="CS270" s="3"/>
      <c r="CT270" s="3"/>
    </row>
    <row r="271" spans="2:98">
      <c r="B271" s="2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BO271" s="3"/>
      <c r="CS271" s="3"/>
      <c r="CT271" s="3"/>
    </row>
    <row r="272" spans="2:98">
      <c r="B272" s="2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BO272" s="3"/>
      <c r="CS272" s="3"/>
      <c r="CT272" s="3"/>
    </row>
    <row r="273" spans="2:98">
      <c r="B273" s="2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BO273" s="3"/>
      <c r="CS273" s="3"/>
      <c r="CT273" s="3"/>
    </row>
    <row r="274" spans="2:98">
      <c r="B274" s="2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BO274" s="3"/>
      <c r="CS274" s="3"/>
      <c r="CT274" s="3"/>
    </row>
    <row r="275" spans="2:98">
      <c r="B275" s="2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BO275" s="3"/>
      <c r="CS275" s="3"/>
      <c r="CT275" s="3"/>
    </row>
    <row r="276" spans="2:98">
      <c r="B276" s="2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BO276" s="3"/>
      <c r="CS276" s="3"/>
      <c r="CT276" s="3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PWA_BatteryData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Channing Hambric</cp:lastModifiedBy>
  <cp:revision/>
  <dcterms:created xsi:type="dcterms:W3CDTF">2020-05-11T16:54:06Z</dcterms:created>
  <dcterms:modified xsi:type="dcterms:W3CDTF">2024-11-12T15:24:57Z</dcterms:modified>
  <cp:category/>
  <cp:contentStatus/>
</cp:coreProperties>
</file>