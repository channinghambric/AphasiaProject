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ocuments/AphasiaProject/excel_data/"/>
    </mc:Choice>
  </mc:AlternateContent>
  <xr:revisionPtr revIDLastSave="98" documentId="11_E60897F41BE170836B02CE998F75CCDC64E183C8" xr6:coauthVersionLast="47" xr6:coauthVersionMax="47" xr10:uidLastSave="{466D2A95-1EE3-4364-850D-B23EC968526F}"/>
  <bookViews>
    <workbookView xWindow="1170" yWindow="1170" windowWidth="21600" windowHeight="11295" firstSheet="1" activeTab="1" xr2:uid="{00000000-000D-0000-FFFF-FFFF00000000}"/>
  </bookViews>
  <sheets>
    <sheet name="README" sheetId="2" r:id="rId1"/>
    <sheet name="PWA_Demographics" sheetId="4" r:id="rId2"/>
    <sheet name="WAB_AnimalGeneration" sheetId="1" r:id="rId3"/>
    <sheet name="WAB_AnGen_ForForwardFlow" sheetId="3" r:id="rId4"/>
  </sheets>
  <definedNames>
    <definedName name="_xlnm._FilterDatabase" localSheetId="3" hidden="1">WAB_AnGen_ForForwardFlow!$A$1:$V$174</definedName>
    <definedName name="_xlnm._FilterDatabase" localSheetId="2" hidden="1">WAB_AnimalGeneration!$A$1:$W$174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2" i="4" l="1"/>
  <c r="G34" i="4"/>
  <c r="F148" i="4"/>
  <c r="F114" i="4"/>
  <c r="G83" i="4"/>
  <c r="F83" i="4"/>
  <c r="G127" i="4"/>
  <c r="G23" i="4"/>
  <c r="F23" i="4"/>
  <c r="G126" i="4"/>
  <c r="F101" i="4"/>
  <c r="G47" i="4"/>
  <c r="G46" i="4"/>
</calcChain>
</file>

<file path=xl/sharedStrings.xml><?xml version="1.0" encoding="utf-8"?>
<sst xmlns="http://schemas.openxmlformats.org/spreadsheetml/2006/main" count="2991" uniqueCount="387">
  <si>
    <t>Data included here from Myrna's battery cycle, specifically patients's WAB animal generation.</t>
  </si>
  <si>
    <t>"PWA_Demographics"</t>
  </si>
  <si>
    <t>Demographics data for PWA</t>
  </si>
  <si>
    <t>"WAB_AnimalGeneration"</t>
  </si>
  <si>
    <t xml:space="preserve">ID: </t>
  </si>
  <si>
    <t>De-identified patient code (3 patients with "-2" to represent second testing)</t>
  </si>
  <si>
    <t>detail:</t>
  </si>
  <si>
    <t>Transcription of entire response ("xxx" indicates patient provided no response)</t>
  </si>
  <si>
    <t>AnFISc:</t>
  </si>
  <si>
    <t>Total # of animals provided</t>
  </si>
  <si>
    <t>Columns D-W:</t>
  </si>
  <si>
    <t>Numbered responses in separate cells/columns</t>
  </si>
  <si>
    <t>"WAB_AnGen_ForForwardFlow"</t>
  </si>
  <si>
    <t>Same data as in "WAB_AnimalGeneration" but with "animal" in first column and organized for Forward Flow</t>
  </si>
  <si>
    <t>Fluency ID</t>
  </si>
  <si>
    <t>Gender</t>
  </si>
  <si>
    <t>H</t>
  </si>
  <si>
    <t>Ethnic Gp</t>
  </si>
  <si>
    <t>Ed</t>
  </si>
  <si>
    <t xml:space="preserve"> Age at current testing</t>
  </si>
  <si>
    <t>MPO at current testing</t>
  </si>
  <si>
    <t>F</t>
  </si>
  <si>
    <t>R</t>
  </si>
  <si>
    <t>AA</t>
  </si>
  <si>
    <t>20001-2</t>
  </si>
  <si>
    <t>C</t>
  </si>
  <si>
    <t>20002-2</t>
  </si>
  <si>
    <t>20003-2</t>
  </si>
  <si>
    <t>F</t>
    <phoneticPr fontId="0"/>
  </si>
  <si>
    <t>R</t>
    <phoneticPr fontId="0"/>
  </si>
  <si>
    <t xml:space="preserve">AA </t>
    <phoneticPr fontId="0"/>
  </si>
  <si>
    <t>20004-2</t>
  </si>
  <si>
    <t>M</t>
  </si>
  <si>
    <t>20005-2</t>
  </si>
  <si>
    <t>20006-2</t>
  </si>
  <si>
    <t>M</t>
    <phoneticPr fontId="0"/>
  </si>
  <si>
    <t>20007-2</t>
  </si>
  <si>
    <t>C</t>
    <phoneticPr fontId="0"/>
  </si>
  <si>
    <t>20008-2</t>
  </si>
  <si>
    <t>20009-2</t>
  </si>
  <si>
    <t>20010-2</t>
  </si>
  <si>
    <t>20012-2</t>
  </si>
  <si>
    <t>20014-2</t>
  </si>
  <si>
    <t>20015-2</t>
  </si>
  <si>
    <t>20017-2</t>
  </si>
  <si>
    <t>20032-2</t>
  </si>
  <si>
    <t>20037-2</t>
  </si>
  <si>
    <t>20041-2</t>
  </si>
  <si>
    <t>20052-2</t>
  </si>
  <si>
    <t>AA-H</t>
  </si>
  <si>
    <t>20061-2</t>
  </si>
  <si>
    <t>20065-2</t>
  </si>
  <si>
    <t>AA</t>
    <phoneticPr fontId="0"/>
  </si>
  <si>
    <t>AA-Asian</t>
  </si>
  <si>
    <t>20075-2</t>
  </si>
  <si>
    <t>20082-2</t>
  </si>
  <si>
    <t>20091-2</t>
  </si>
  <si>
    <t>20093-2</t>
  </si>
  <si>
    <t xml:space="preserve">AA </t>
  </si>
  <si>
    <t>20099-2</t>
  </si>
  <si>
    <t>20107-2</t>
  </si>
  <si>
    <t>detail</t>
  </si>
  <si>
    <t>AnFlSc</t>
  </si>
  <si>
    <t>dog, cat, elephant, lion, [horse], or [spelled "r-h-i-n-o']</t>
  </si>
  <si>
    <t>dog</t>
  </si>
  <si>
    <t>cat</t>
  </si>
  <si>
    <t>elephant</t>
  </si>
  <si>
    <t>lion</t>
  </si>
  <si>
    <t>dog, cat, goldfish, llama, horse, pig, turtle, snake, iguana, hamster, gerbil, pony</t>
  </si>
  <si>
    <t>goldfish</t>
  </si>
  <si>
    <t>llama</t>
  </si>
  <si>
    <t>horse</t>
  </si>
  <si>
    <t>pig</t>
  </si>
  <si>
    <t>turtle</t>
  </si>
  <si>
    <t>snake</t>
  </si>
  <si>
    <t>iguana</t>
  </si>
  <si>
    <t>hamster</t>
  </si>
  <si>
    <t>gerbil</t>
  </si>
  <si>
    <t>pony</t>
  </si>
  <si>
    <t>dog, cat, rabbit, squirrel, leopard, owl, elephant, giraffe, hippo, snake, rhino, ape, monkey, bear</t>
  </si>
  <si>
    <t>rabbit</t>
  </si>
  <si>
    <t>squirrel</t>
  </si>
  <si>
    <t>leopard</t>
  </si>
  <si>
    <t>owl</t>
  </si>
  <si>
    <t>giraffe</t>
  </si>
  <si>
    <t>hippo</t>
  </si>
  <si>
    <t>rhino</t>
  </si>
  <si>
    <t>ape</t>
  </si>
  <si>
    <t>monkey</t>
  </si>
  <si>
    <t>bear</t>
  </si>
  <si>
    <t>dog, cat, lion, tiger, [horse], cow, alligator, crocodile, fish</t>
  </si>
  <si>
    <t>tiger</t>
  </si>
  <si>
    <t>cow</t>
  </si>
  <si>
    <t>alligator</t>
  </si>
  <si>
    <t>crocodile</t>
  </si>
  <si>
    <t>fish</t>
  </si>
  <si>
    <t>bear, cub, ostrich, rhinoceros, giraffe, tiger, sheep</t>
  </si>
  <si>
    <t>cub</t>
  </si>
  <si>
    <t>ostrich</t>
  </si>
  <si>
    <t>rhinoceros</t>
  </si>
  <si>
    <t>sheep</t>
  </si>
  <si>
    <t>horse, cat, dog, sheep, lamb, kangaroo, [lamb], owl, hippo, newt, ape, lion, tiger, [kangaroo], pig, rabbits</t>
  </si>
  <si>
    <t>lamb</t>
  </si>
  <si>
    <t>kangaroo</t>
  </si>
  <si>
    <t>newt</t>
  </si>
  <si>
    <t>rabbits</t>
  </si>
  <si>
    <t>tiger, giraffe, monkey, dog, cat, rabbit, caterpillar, hippo, snake, oranagatang,</t>
  </si>
  <si>
    <t>caterpillar</t>
  </si>
  <si>
    <t>orangatang</t>
  </si>
  <si>
    <t>[tiger] camel, koala bear, crocodille, alligator, hippo, fish, [horse]</t>
  </si>
  <si>
    <t>camel</t>
  </si>
  <si>
    <t>koala</t>
  </si>
  <si>
    <t>skunk, rabbit, ground-horg, deer, elephant, tiger, lion, zebra, walrus, cow, dog, chipmunk</t>
  </si>
  <si>
    <t>skunk</t>
  </si>
  <si>
    <t>groundhog</t>
  </si>
  <si>
    <t>deer</t>
  </si>
  <si>
    <t>zebra</t>
  </si>
  <si>
    <t>walrus</t>
  </si>
  <si>
    <t>chipmunk</t>
  </si>
  <si>
    <t>elephant, monkey, gorilla, bear, kangaroo, [monkey], dog, cat, mouse, parakeet, birds</t>
  </si>
  <si>
    <t>gorilla</t>
  </si>
  <si>
    <t>mouse</t>
  </si>
  <si>
    <t>parakeet</t>
  </si>
  <si>
    <t>birds</t>
  </si>
  <si>
    <t>[horse], cat, dog, lion, gorilla</t>
  </si>
  <si>
    <t>cat, dog, horse, goat, lion, cheetah, orangutan, gorilla, monkey, marmoset, rhinoceros, hippopotamus, giraffe, hyena, sheep</t>
  </si>
  <si>
    <t>goat</t>
  </si>
  <si>
    <t>cheetah</t>
  </si>
  <si>
    <t>orangutan</t>
  </si>
  <si>
    <t>marmoset</t>
  </si>
  <si>
    <t>hippopotamus</t>
  </si>
  <si>
    <t>hyena</t>
  </si>
  <si>
    <t>dog, cat, chicken, cows, horses, whales, sharks, fish, pigs, cheetahs, orangutans, birds</t>
  </si>
  <si>
    <t>chicken</t>
  </si>
  <si>
    <t>cows</t>
  </si>
  <si>
    <t>horses</t>
  </si>
  <si>
    <t>whales</t>
  </si>
  <si>
    <t>sharks</t>
  </si>
  <si>
    <t>pigs</t>
  </si>
  <si>
    <t>cheetahs</t>
  </si>
  <si>
    <t>orangutans</t>
  </si>
  <si>
    <t>dog, cat, [big dogs, little cats], alligators, ducks, swans, birds, [little bitty ducks] sheep, cow, horses, sow, pig, [little babies]</t>
  </si>
  <si>
    <t>alligators</t>
  </si>
  <si>
    <t>ducks</t>
  </si>
  <si>
    <t>swans</t>
  </si>
  <si>
    <t>sow</t>
  </si>
  <si>
    <t>bear, lion, donkey, zebra, snake, monkey, crocodile, horse, pig,cow, duck, fox, wolf, bull, tiger</t>
  </si>
  <si>
    <t>donkey</t>
  </si>
  <si>
    <t>duck</t>
  </si>
  <si>
    <t>fox</t>
  </si>
  <si>
    <t>wolf</t>
  </si>
  <si>
    <t>bull</t>
  </si>
  <si>
    <t>tiger, lion, leopard, cougar, wolf, fox, lynx, eagle, owl, /?/-bird, robin, wren, goat, sheep, cow, horse, rooster</t>
  </si>
  <si>
    <t>cougar</t>
  </si>
  <si>
    <t>lynx</t>
  </si>
  <si>
    <t>eagle</t>
  </si>
  <si>
    <t>bird</t>
  </si>
  <si>
    <t>robin</t>
  </si>
  <si>
    <t>wren</t>
  </si>
  <si>
    <t>rooster</t>
  </si>
  <si>
    <t>cat, rabbit, giraffe, lion, tiger, cheetah, monkey, elephant, rhinocerous</t>
  </si>
  <si>
    <t>rhinocerous</t>
  </si>
  <si>
    <t>cat, dog, elephant, lion, turkey, cow, goat, octopus, giraffe, sea lion, seal, squid, zebra, tiger, panther, leopard,  mouse, camel, ostrich, monkey</t>
  </si>
  <si>
    <t xml:space="preserve"> turkey</t>
  </si>
  <si>
    <t xml:space="preserve">cow </t>
  </si>
  <si>
    <t>octopus</t>
  </si>
  <si>
    <t>sea lion</t>
  </si>
  <si>
    <t>seal</t>
  </si>
  <si>
    <t>squid</t>
  </si>
  <si>
    <t>panther</t>
  </si>
  <si>
    <t>boar, ape, cow, horse, pig, cat, field mice, owl</t>
  </si>
  <si>
    <t>boar</t>
  </si>
  <si>
    <t>mice</t>
  </si>
  <si>
    <t>mice, squirrel, dog, cat, /ribuh/(zebra), lion, tiger</t>
  </si>
  <si>
    <t>xxxxx</t>
  </si>
  <si>
    <t>cat, mouse, horses, cows</t>
  </si>
  <si>
    <t>cats, lion, giraffe, leopard, elephant, zebra, fish, pigs, goat, alligator</t>
  </si>
  <si>
    <t>cats</t>
  </si>
  <si>
    <t>dog, cat, beaver, fox, bear, elephant, rhino, giraffe, monkey, snakes, buffalo, cow, horse, squirrel</t>
  </si>
  <si>
    <t>beaver</t>
  </si>
  <si>
    <t>snakes</t>
  </si>
  <si>
    <t>buffalo</t>
  </si>
  <si>
    <t>squiirel</t>
  </si>
  <si>
    <t>cow, dog, cat, lion, zebra, elephant, gazelles, wolf, goat, pig, donkey, gorilla, monkeys, chimpanzees, coyote</t>
  </si>
  <si>
    <t>gazelles</t>
  </si>
  <si>
    <t>monkeys</t>
  </si>
  <si>
    <t>chimpanzees</t>
  </si>
  <si>
    <t>coyote</t>
  </si>
  <si>
    <t>giraffe, lion, tiger, cat, porpoise</t>
  </si>
  <si>
    <t>porpoise</t>
  </si>
  <si>
    <t>dog, cat, pig, horse, snake, cow, squirrel, alligator</t>
  </si>
  <si>
    <t>cat, mouse, cows, chickens, lions, tigers, giraffe</t>
  </si>
  <si>
    <t>chickens</t>
  </si>
  <si>
    <t>lions</t>
  </si>
  <si>
    <t>tigers</t>
  </si>
  <si>
    <t>horse, cow, cat, monkey, rhinocerous, tiger, lion, [cat], dog, camel</t>
  </si>
  <si>
    <t>rhinocerus</t>
  </si>
  <si>
    <t>cat, mouse, elephant, zebra, [cat], ostrich, rhino, alligator, monkey, birds, [zebra], crocodile</t>
  </si>
  <si>
    <t>cat, dog, horse, cow, bull, beaver, [xxx], buffalo, lion, bear, tiger, panther, chimpanzee, fox, wolf, elephant, fish</t>
  </si>
  <si>
    <t>chimpanzee</t>
  </si>
  <si>
    <t>dog, cat, bird, lion, tiger, mouse, monkey, parrot, turkey, chicken, cow, squirrel, bug</t>
  </si>
  <si>
    <t>parrot</t>
  </si>
  <si>
    <t>turkey</t>
  </si>
  <si>
    <t>bug</t>
  </si>
  <si>
    <t>bear, lion, moose, elephant, giraffe, tiger, goat, zebra, pig, horse, chicken, dog, cat</t>
  </si>
  <si>
    <t>moose</t>
  </si>
  <si>
    <t>cat, dog, rat, mouse, tiger, lion, bear, giraffe, hippo, owl, snake, cheetah, monkey, gorilla, aardvark, penguin</t>
  </si>
  <si>
    <t>rat</t>
  </si>
  <si>
    <t>aardvark</t>
  </si>
  <si>
    <t>penguin</t>
  </si>
  <si>
    <t>horse, dog, lion</t>
  </si>
  <si>
    <t>cat, bird, dog, [stink], [cat], wolf, horse, [dog], [cat], snake, [wolf], [bird], eagle, [cat]</t>
  </si>
  <si>
    <t>fish, bear, pig</t>
  </si>
  <si>
    <t>cat, cow, horse, tiger, chipmunks, squirrel, rat, fish, dolphin</t>
  </si>
  <si>
    <t>chipmunks</t>
  </si>
  <si>
    <t>dolphin</t>
  </si>
  <si>
    <t>aardvark,dog, cat, goat, sheep,duck,cows, frog, chimpanzee, moose, wolf, kangaroo</t>
  </si>
  <si>
    <t>frog</t>
  </si>
  <si>
    <t>dog, cat, tigers, leopards, monkeys, [animal], elephant, horse, parrot</t>
  </si>
  <si>
    <t>leopards</t>
  </si>
  <si>
    <t>cat, dog, spider, rabbit, tiger, elephant, monkey, hippopotamus, crocodile, de-raffe</t>
  </si>
  <si>
    <t>spider</t>
  </si>
  <si>
    <t>giraffes, donkey, bears</t>
  </si>
  <si>
    <t>giraffes</t>
  </si>
  <si>
    <t>bears</t>
  </si>
  <si>
    <r>
      <t>dog, cat, [horse], [manas</t>
    </r>
    <r>
      <rPr>
        <sz val="10"/>
        <rFont val="Times New Roman"/>
        <family val="1"/>
      </rPr>
      <t>I</t>
    </r>
    <r>
      <rPr>
        <sz val="10"/>
        <rFont val="Arial"/>
        <family val="2"/>
      </rPr>
      <t>s], lion, [tiger], walrus</t>
    </r>
  </si>
  <si>
    <t>cat, fly, pig, turtle, cheetah</t>
  </si>
  <si>
    <t>fly</t>
  </si>
  <si>
    <t>[banner your], [ensel], [ansel]</t>
  </si>
  <si>
    <t>pig, rooster, dog, cat, horse, cow, bear, moose</t>
  </si>
  <si>
    <t>cat, mouse, dog, monkey, snake, lion, elephant, duck, chickens</t>
  </si>
  <si>
    <t>cat, dogs, cow, lion, giraffe, leopard, ape, fish, goat, elephant</t>
  </si>
  <si>
    <t>dogs</t>
  </si>
  <si>
    <t>dog, cat, horse, pig, cow, zebra, lion, tiger, elephant, rhino, giraffe, buffalo, hippo, [rhino], croc</t>
  </si>
  <si>
    <t>croc</t>
  </si>
  <si>
    <t>cat, dog, rabbit, horse, lion, tiger, beaver, mouse, porcupine</t>
  </si>
  <si>
    <t>porcupine</t>
  </si>
  <si>
    <t>cat, dog, mouse, snake, frog, possum, gator, fox, lion, giraffe, elephant, tiger,</t>
  </si>
  <si>
    <t>possum</t>
  </si>
  <si>
    <t>gator</t>
  </si>
  <si>
    <t>giraffe, [teddy]</t>
  </si>
  <si>
    <t>elephant, bear, tiger, lion, zebra, bull, [dog], cat, [foxchase], aardvark, beagle, tiger</t>
  </si>
  <si>
    <t>beagle</t>
  </si>
  <si>
    <t>bird, dog, cats, horses, pig, mole, whale, bears, goats, alligators, crocodiles, squirrels, rabbits, mice, rats, elephants, lions, tigers</t>
  </si>
  <si>
    <t>mole</t>
  </si>
  <si>
    <t>whale</t>
  </si>
  <si>
    <t>goats</t>
  </si>
  <si>
    <t>crocodiles</t>
  </si>
  <si>
    <t>squirrels</t>
  </si>
  <si>
    <t>rats</t>
  </si>
  <si>
    <t>elephants</t>
  </si>
  <si>
    <t>lion, elephant, giraffe, donkey</t>
  </si>
  <si>
    <t>hog, pig, cows, chicken, goose</t>
  </si>
  <si>
    <t>hog</t>
  </si>
  <si>
    <t>goose</t>
  </si>
  <si>
    <t>dog, cat, elephant, badger, goose, hippopotamus, [?],  zebra</t>
  </si>
  <si>
    <t>badger</t>
  </si>
  <si>
    <t>dog, cat, squirrel, horse, lamb, mouse, goat, groundhog, pig</t>
  </si>
  <si>
    <t>[dog], [kite], [horse], cued [tiger]</t>
  </si>
  <si>
    <t>[dog], eagle, [hop is], dolphin, pig, calf, horse</t>
  </si>
  <si>
    <t>calf</t>
  </si>
  <si>
    <t>cow, dog, cat, elephant, ape, [cow], giraffe, horse, mule, snake, bear, deer</t>
  </si>
  <si>
    <t>mule</t>
  </si>
  <si>
    <t>[dog], cat, [cat], [tiger]</t>
  </si>
  <si>
    <t>parrot, frog, dog, cat</t>
  </si>
  <si>
    <t>cat,dog,horse,elephant,leopard,squirrels, whales,dolphins,birds, parrot, parakeet,snake,alligator,crocodile</t>
  </si>
  <si>
    <t>dolphins</t>
  </si>
  <si>
    <t>dog, cat, lion, elephant, giraffe, goat, cow, gorilla, squirrel, rat, bird</t>
  </si>
  <si>
    <t>alligator, giraffe, dog, cat, mouse, crocodile, hippo, rhinocerous, birds</t>
  </si>
  <si>
    <t>giraffe, elephant, dog, cat, duck, geese,[ giraffe], lion, [elephant]</t>
  </si>
  <si>
    <t>geese</t>
  </si>
  <si>
    <t>cattle</t>
  </si>
  <si>
    <t>monkey, lion, [horse], [dog], giraffe, snake, alligator, [sea-ruff], turtle</t>
  </si>
  <si>
    <t>horse, dog, elephant, cat, rhinocerous, monkey, donkey, giraffe, lion, tiger, bear, fish, dolphins, whales, ape, orangatan, coyote, wolf</t>
  </si>
  <si>
    <t>orangatan</t>
  </si>
  <si>
    <t>cat, dog, ferret, cow</t>
  </si>
  <si>
    <t>ferret</t>
  </si>
  <si>
    <t>na-nonverbal</t>
  </si>
  <si>
    <t>na</t>
  </si>
  <si>
    <t>mongoose, snake, lions, hyenas, zebra, wild buffalo, elephant,  uh crocodile, alligators, dog, cat, monkey, apes, shark , whale , seal,  penguins, bears, fox, wolf// (continued on…)</t>
  </si>
  <si>
    <t>mongoose</t>
  </si>
  <si>
    <t>hyenas</t>
  </si>
  <si>
    <t>apes</t>
  </si>
  <si>
    <t>shark</t>
  </si>
  <si>
    <t>penguins</t>
  </si>
  <si>
    <t>[tat], dog, cat, [fish- no not a fish], lion, tiger, cow, horse, wolf, elephan, [gigranfick], raccoon, skunk, llama</t>
  </si>
  <si>
    <t>raccoon</t>
  </si>
  <si>
    <t>dog, [cat], bear, tiger</t>
  </si>
  <si>
    <t>cat, dog, rabbit, duck, frog, toad, anteater, mule, horse, mouse, elephant, tiger, lion</t>
  </si>
  <si>
    <t>toad</t>
  </si>
  <si>
    <t>anteater</t>
  </si>
  <si>
    <t>dog, cat, mouse, [horse], cow, chicken, giraffe, elephant, [tiger], cougar, hippopotamus, [mouse]</t>
  </si>
  <si>
    <t>frog, cow, horse, pig, giraffe, elephant, lion, tiger, bear, dog, cat, rhinocerous, turtle</t>
  </si>
  <si>
    <t>dog, cat, zebra, squirrel</t>
  </si>
  <si>
    <t>dogs, cats, zebras, elephants, mice, rats, lions, tigers, bears, fish, squids, jellyfish</t>
  </si>
  <si>
    <t>zebras</t>
  </si>
  <si>
    <t>squids</t>
  </si>
  <si>
    <t>jellyfish</t>
  </si>
  <si>
    <t>cat, [?]</t>
  </si>
  <si>
    <t>dog, cat, horse, tiger, bear, leopard, alligator, zebra, skunk, beaver, possum, gorilla, elephant</t>
  </si>
  <si>
    <t>[several unintelligible attempts], deer</t>
  </si>
  <si>
    <t>[started using a first sound strategy: ass, bee, cat, dog, elephant, fox, gnu, hippo, jaguar, kangaroo, llama, meerkat, ocelot, puma, rhino</t>
  </si>
  <si>
    <t>ass</t>
  </si>
  <si>
    <t>bee</t>
  </si>
  <si>
    <t>gnu</t>
  </si>
  <si>
    <t>jaguar</t>
  </si>
  <si>
    <t>meerkat</t>
  </si>
  <si>
    <t>ocelot</t>
  </si>
  <si>
    <t>puma</t>
  </si>
  <si>
    <t>deer, dog, cat, bear, [bear], raccoon, rabbit, tiger, eagle, moose, /?/, lion, [bear], wolf, elephant, giraffe, cow, duck</t>
  </si>
  <si>
    <t>gorilla, chimpanzee, dog, [cat], cheetah, giraffe, fish, squirrel, deer, spider, snake, octopus, shark, wolverine</t>
  </si>
  <si>
    <t>wolverine</t>
  </si>
  <si>
    <t>[praw, treh, prow]…</t>
  </si>
  <si>
    <t>elephant, [rover], cats, lion, dogs, snakes</t>
  </si>
  <si>
    <t>cow. [horse], [tiger], alpaca</t>
  </si>
  <si>
    <t>alpaca</t>
  </si>
  <si>
    <t>dog, cat, [tiger], hawk, cow</t>
  </si>
  <si>
    <t>hawk</t>
  </si>
  <si>
    <t xml:space="preserve">elephant, r- uh lion, alligator, fin- snake, leopard, </t>
  </si>
  <si>
    <t>dogs, cats</t>
  </si>
  <si>
    <t>dog, cat, snake, rabbit, mouse, buffalo,horse, [dog], lizard, rat, roach, [tiger],leopard, elephant, [snake], zebra, lion</t>
  </si>
  <si>
    <t xml:space="preserve"> mouse</t>
  </si>
  <si>
    <t>lizard</t>
  </si>
  <si>
    <t>roach</t>
  </si>
  <si>
    <t>lion, [tiger], cow, cat, dogs, [cow], mo-key</t>
  </si>
  <si>
    <t>dog, cat, rabbit, lion, tiger, giraffe, elephant</t>
  </si>
  <si>
    <t>cat, dog, horse, snake, owl, rat, bird, tiger, elephant, pig, cow, sea cow, monkey, giraffe, crocodile, rabbit, scorpion,goat, chihauhua, flies</t>
  </si>
  <si>
    <t>sea cow</t>
  </si>
  <si>
    <t>scorpion</t>
  </si>
  <si>
    <t>chihauhau</t>
  </si>
  <si>
    <t>flies</t>
  </si>
  <si>
    <t>eleph-r-ent, [sherah], [lek], /manel/, monkey, [braker]</t>
  </si>
  <si>
    <t>elephant, /lacerous/(rhinocerous), bear, raccoon, rabbit</t>
  </si>
  <si>
    <t>cat, dog, cow, horse, skunk, lion, tiger, bear, rhino, hippo</t>
  </si>
  <si>
    <t>lion, [tiger], bears, [horse], [animals], [lions], [sea-skwuh-], [ocean]</t>
  </si>
  <si>
    <t>dog, cat, elephant, horse, pigs, [moo], lion, monkey, [teep], raccoon</t>
  </si>
  <si>
    <t xml:space="preserve"> monkey</t>
  </si>
  <si>
    <t>dog, cat, mice, rat, monkey, lion, t-elephan, giraffe, zebra, lamb, seals, dinosaurs, ant, spider, bunny, hamster, skunk, turkey, chicken, polar bears</t>
  </si>
  <si>
    <t>seals</t>
  </si>
  <si>
    <t>dinosaurs</t>
  </si>
  <si>
    <t>ant</t>
  </si>
  <si>
    <t>bunny</t>
  </si>
  <si>
    <t>polar bears</t>
  </si>
  <si>
    <t>[tiger], [horse]</t>
  </si>
  <si>
    <t>hippo, dog, cat, mouse, lion, cow, horse, raccoon, jaguar, butterfly, moth</t>
  </si>
  <si>
    <t>butterfly</t>
  </si>
  <si>
    <t>moth</t>
  </si>
  <si>
    <t>zebra, tiger, bear, gorilla, cat, dog, octopus, whale, sheep, goat</t>
  </si>
  <si>
    <t>lion, zebra, mouse, cat, dinosaur, dog, [lion], giraffe</t>
  </si>
  <si>
    <t>dinosaur</t>
  </si>
  <si>
    <t>horse, dogs, cats, birds, fish, [birds], [horses], [animals], lions</t>
  </si>
  <si>
    <t>[tiger], [horse], giraffe, lion, dog, cat</t>
  </si>
  <si>
    <t>hyena, cats, dogs, mouse</t>
  </si>
  <si>
    <t>dog,cat, lion, tiger, giraffe, elephant, hippo, leopard, zebra, kangaroo, raccoon</t>
  </si>
  <si>
    <t xml:space="preserve">lion </t>
  </si>
  <si>
    <t>dog, cat, bat, bear, fish, squirrel, duck, [man], [woman], scorpion</t>
  </si>
  <si>
    <t>bat</t>
  </si>
  <si>
    <t>dog, cat, fish, lion, tiger, bear, zebra, deer, beaver, elk, coyote, polar bear, rhino, hippopatomus, monkey, gorilla, cheetah</t>
  </si>
  <si>
    <t>elk</t>
  </si>
  <si>
    <t>polar bear</t>
  </si>
  <si>
    <t>[knife and fork, wagon]</t>
  </si>
  <si>
    <t>dog, cat</t>
  </si>
  <si>
    <t>dog, cat, calf, bird</t>
  </si>
  <si>
    <t>[horse]</t>
  </si>
  <si>
    <t>horse, cow, chicken, dog, cat, pigs, rabbit, squirrel, raccoon, possum, lion, tiger, bear, giraffe, elephants, birds, seals, fish, parrots</t>
  </si>
  <si>
    <t>parrots</t>
  </si>
  <si>
    <t>dog, cat, elephant, zebra, giraffe, pig, donkey, monkey, cow, horse, snake, rabbit</t>
  </si>
  <si>
    <t>dog, cat, canary, chimpanzee, tigers, lions</t>
  </si>
  <si>
    <t>canary</t>
  </si>
  <si>
    <t>alligator, elephant, kangaroo, zebra, gorilla, lion, tiger</t>
  </si>
  <si>
    <t>dog, cat, fish, pig, cow, chicken, rooster, giraffe, lion</t>
  </si>
  <si>
    <t>bear, lion, tiger, monkey, elephant, zebra, dog, cat, horse, chimpanzee</t>
  </si>
  <si>
    <t>dog, cat, lion, calf, ram, bear, snake, gerbil, raccoon, oppossum</t>
  </si>
  <si>
    <t>ram</t>
  </si>
  <si>
    <t>opposum</t>
  </si>
  <si>
    <t>dogs, [dogs], cats, horses, ponies, [german-], snakes, apes, monkeys</t>
  </si>
  <si>
    <t>ponies</t>
  </si>
  <si>
    <t>dogs, cats, bears, fox, deer, elephant, giraffe, apes, gorillas, lions, buffallo, hippopatomus, cougars, pumas, horses</t>
  </si>
  <si>
    <t>gorillas</t>
  </si>
  <si>
    <t>cougars</t>
  </si>
  <si>
    <t>cat, dog, camels, bears, fish, elephants</t>
  </si>
  <si>
    <t>camels</t>
  </si>
  <si>
    <t>lion, dog, cat, cheetah, fish</t>
  </si>
  <si>
    <t>bear, cheetah, panther, pig, deer</t>
  </si>
  <si>
    <t>bear, cat-ch, squirrel, deer, pig</t>
  </si>
  <si>
    <t>ID</t>
  </si>
  <si>
    <t>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</si>
</sst>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Times New Roman"/>
      <family val="1"/>
    </font>
    <font>
      <strike/>
      <sz val="24"/>
      <name val="Arial"/>
      <family val="2"/>
    </font>
    <font>
      <sz val="24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1" fontId="2" fillId="3" borderId="0" xfId="0" applyNumberFormat="1" applyFont="1" applyFill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6" fillId="5" borderId="0" xfId="0" applyFont="1" applyFill="1" applyAlignment="1">
      <alignment horizontal="left" wrapText="1"/>
    </xf>
    <xf numFmtId="0" fontId="7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17" fontId="6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left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EA15-8C5A-4203-8B44-671C2ED1BF94}">
  <dimension ref="A1:B14"/>
  <sheetViews>
    <sheetView workbookViewId="0">
      <selection activeCell="A5" sqref="A5"/>
    </sheetView>
  </sheetViews>
  <sheetFormatPr defaultRowHeight="15" x14ac:dyDescent="0.25"/>
  <cols>
    <col min="1" max="1" width="12.5703125" customWidth="1"/>
  </cols>
  <sheetData>
    <row r="1" spans="1:2" x14ac:dyDescent="0.25">
      <c r="A1" s="6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s="5" t="s">
        <v>3</v>
      </c>
    </row>
    <row r="7" spans="1:2" ht="15.75" x14ac:dyDescent="0.25">
      <c r="A7" s="33" t="s">
        <v>4</v>
      </c>
      <c r="B7" t="s">
        <v>5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3" spans="1:2" x14ac:dyDescent="0.25">
      <c r="A13" s="5" t="s">
        <v>12</v>
      </c>
    </row>
    <row r="14" spans="1:2" x14ac:dyDescent="0.25">
      <c r="A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16FB-6309-44A3-8CEF-B77755E40B36}">
  <dimension ref="A1:G227"/>
  <sheetViews>
    <sheetView tabSelected="1" workbookViewId="0">
      <selection activeCell="M14" sqref="M14"/>
    </sheetView>
  </sheetViews>
  <sheetFormatPr defaultRowHeight="15" x14ac:dyDescent="0.25"/>
  <cols>
    <col min="1" max="1" width="17.42578125" style="4" customWidth="1"/>
    <col min="2" max="2" width="7.85546875" style="4" customWidth="1"/>
    <col min="3" max="3" width="7.140625" style="4" customWidth="1"/>
    <col min="4" max="4" width="5.42578125" style="4" customWidth="1"/>
    <col min="5" max="5" width="9.42578125" style="4" customWidth="1"/>
    <col min="6" max="6" width="8.85546875" style="4" customWidth="1"/>
    <col min="7" max="7" width="13.42578125" style="4" customWidth="1"/>
  </cols>
  <sheetData>
    <row r="1" spans="1:7" ht="47.25" x14ac:dyDescent="0.25">
      <c r="A1" s="31" t="s">
        <v>14</v>
      </c>
      <c r="B1" s="32" t="s">
        <v>15</v>
      </c>
      <c r="C1" s="31" t="s">
        <v>18</v>
      </c>
      <c r="D1" s="31" t="s">
        <v>16</v>
      </c>
      <c r="E1" s="31" t="s">
        <v>17</v>
      </c>
      <c r="F1" s="31" t="s">
        <v>19</v>
      </c>
      <c r="G1" s="31" t="s">
        <v>20</v>
      </c>
    </row>
    <row r="2" spans="1:7" x14ac:dyDescent="0.25">
      <c r="A2" s="2">
        <v>20067</v>
      </c>
      <c r="B2" s="3" t="s">
        <v>21</v>
      </c>
      <c r="C2" s="3">
        <v>14</v>
      </c>
      <c r="D2" s="3" t="s">
        <v>22</v>
      </c>
      <c r="E2" s="3" t="s">
        <v>23</v>
      </c>
      <c r="F2" s="3">
        <v>26</v>
      </c>
      <c r="G2" s="3">
        <v>7</v>
      </c>
    </row>
    <row r="3" spans="1:7" x14ac:dyDescent="0.25">
      <c r="A3" s="2">
        <v>20107</v>
      </c>
      <c r="B3" s="4" t="s">
        <v>28</v>
      </c>
      <c r="C3" s="4">
        <v>12</v>
      </c>
      <c r="D3" s="4" t="s">
        <v>29</v>
      </c>
      <c r="E3" s="4" t="s">
        <v>52</v>
      </c>
      <c r="F3" s="4">
        <v>30</v>
      </c>
      <c r="G3" s="4">
        <v>11</v>
      </c>
    </row>
    <row r="4" spans="1:7" x14ac:dyDescent="0.25">
      <c r="A4" s="2">
        <v>20006</v>
      </c>
      <c r="B4" s="12" t="s">
        <v>21</v>
      </c>
      <c r="C4" s="4">
        <v>18</v>
      </c>
      <c r="D4" s="4" t="s">
        <v>22</v>
      </c>
      <c r="E4" s="4" t="s">
        <v>23</v>
      </c>
      <c r="F4" s="4">
        <v>31</v>
      </c>
      <c r="G4" s="4">
        <v>6</v>
      </c>
    </row>
    <row r="5" spans="1:7" x14ac:dyDescent="0.25">
      <c r="A5" s="2" t="s">
        <v>34</v>
      </c>
      <c r="B5" s="13" t="s">
        <v>21</v>
      </c>
      <c r="C5" s="14">
        <v>18</v>
      </c>
      <c r="D5" s="14" t="s">
        <v>22</v>
      </c>
      <c r="E5" s="14" t="s">
        <v>23</v>
      </c>
      <c r="F5" s="14">
        <v>31</v>
      </c>
      <c r="G5" s="14">
        <v>6</v>
      </c>
    </row>
    <row r="6" spans="1:7" x14ac:dyDescent="0.25">
      <c r="A6" s="2">
        <v>20050</v>
      </c>
      <c r="B6" s="3" t="s">
        <v>32</v>
      </c>
      <c r="C6" s="3">
        <v>12</v>
      </c>
      <c r="D6" s="3" t="s">
        <v>22</v>
      </c>
      <c r="E6" s="3" t="s">
        <v>25</v>
      </c>
      <c r="F6" s="3">
        <v>31</v>
      </c>
      <c r="G6" s="3">
        <v>6</v>
      </c>
    </row>
    <row r="7" spans="1:7" x14ac:dyDescent="0.25">
      <c r="A7" s="2">
        <v>20111</v>
      </c>
      <c r="B7" s="4" t="s">
        <v>35</v>
      </c>
      <c r="C7" s="4">
        <v>13</v>
      </c>
      <c r="D7" s="4" t="s">
        <v>29</v>
      </c>
      <c r="E7" s="4" t="s">
        <v>52</v>
      </c>
      <c r="F7" s="4">
        <v>31</v>
      </c>
      <c r="G7" s="4">
        <v>8</v>
      </c>
    </row>
    <row r="8" spans="1:7" x14ac:dyDescent="0.25">
      <c r="A8" s="2">
        <v>20034</v>
      </c>
      <c r="B8" s="3" t="s">
        <v>21</v>
      </c>
      <c r="C8" s="3">
        <v>12</v>
      </c>
      <c r="D8" s="3" t="s">
        <v>22</v>
      </c>
      <c r="E8" s="3" t="s">
        <v>23</v>
      </c>
      <c r="F8" s="3">
        <v>38</v>
      </c>
      <c r="G8" s="3">
        <v>54</v>
      </c>
    </row>
    <row r="9" spans="1:7" x14ac:dyDescent="0.25">
      <c r="A9" s="2">
        <v>20074</v>
      </c>
      <c r="B9" s="3" t="s">
        <v>32</v>
      </c>
      <c r="C9" s="4">
        <v>15</v>
      </c>
      <c r="D9" s="4" t="s">
        <v>22</v>
      </c>
      <c r="E9" s="4" t="s">
        <v>53</v>
      </c>
      <c r="F9" s="4">
        <v>38</v>
      </c>
      <c r="G9" s="4">
        <v>290</v>
      </c>
    </row>
    <row r="10" spans="1:7" x14ac:dyDescent="0.25">
      <c r="A10" s="2">
        <v>20011</v>
      </c>
      <c r="B10" s="4" t="s">
        <v>21</v>
      </c>
      <c r="C10" s="4">
        <v>12</v>
      </c>
      <c r="D10" s="4" t="s">
        <v>29</v>
      </c>
      <c r="E10" s="3" t="s">
        <v>23</v>
      </c>
      <c r="F10" s="4">
        <v>41</v>
      </c>
      <c r="G10" s="4">
        <v>16</v>
      </c>
    </row>
    <row r="11" spans="1:7" x14ac:dyDescent="0.25">
      <c r="A11" s="2">
        <v>20058</v>
      </c>
      <c r="B11" s="3" t="s">
        <v>21</v>
      </c>
      <c r="C11" s="3">
        <v>14</v>
      </c>
      <c r="D11" s="3" t="s">
        <v>22</v>
      </c>
      <c r="E11" s="3" t="s">
        <v>25</v>
      </c>
      <c r="F11" s="3">
        <v>41</v>
      </c>
      <c r="G11" s="3">
        <v>14</v>
      </c>
    </row>
    <row r="12" spans="1:7" x14ac:dyDescent="0.25">
      <c r="A12" s="2">
        <v>20116</v>
      </c>
      <c r="B12" s="4" t="s">
        <v>21</v>
      </c>
      <c r="C12" s="25">
        <v>12</v>
      </c>
      <c r="D12" s="4" t="s">
        <v>29</v>
      </c>
      <c r="E12" s="25" t="s">
        <v>25</v>
      </c>
      <c r="F12" s="25">
        <v>41</v>
      </c>
      <c r="G12" s="25">
        <v>21</v>
      </c>
    </row>
    <row r="13" spans="1:7" x14ac:dyDescent="0.25">
      <c r="A13" s="2">
        <v>20055</v>
      </c>
      <c r="B13" s="3" t="s">
        <v>32</v>
      </c>
      <c r="C13" s="3">
        <v>14</v>
      </c>
      <c r="D13" s="3" t="s">
        <v>22</v>
      </c>
      <c r="E13" s="3" t="s">
        <v>23</v>
      </c>
      <c r="F13" s="3">
        <v>42</v>
      </c>
      <c r="G13" s="3">
        <v>7</v>
      </c>
    </row>
    <row r="14" spans="1:7" x14ac:dyDescent="0.25">
      <c r="A14" s="2">
        <v>20113</v>
      </c>
      <c r="B14" s="4" t="s">
        <v>28</v>
      </c>
      <c r="C14" s="4">
        <v>18</v>
      </c>
      <c r="D14" s="4" t="s">
        <v>29</v>
      </c>
      <c r="E14" s="4" t="s">
        <v>37</v>
      </c>
      <c r="F14" s="4">
        <v>42</v>
      </c>
      <c r="G14" s="4">
        <v>8</v>
      </c>
    </row>
    <row r="15" spans="1:7" x14ac:dyDescent="0.25">
      <c r="A15" s="2">
        <v>20114</v>
      </c>
      <c r="B15" s="4" t="s">
        <v>28</v>
      </c>
      <c r="C15" s="4">
        <v>16</v>
      </c>
      <c r="D15" s="4" t="s">
        <v>29</v>
      </c>
      <c r="E15" s="4" t="s">
        <v>52</v>
      </c>
      <c r="F15" s="4">
        <v>42</v>
      </c>
      <c r="G15" s="4">
        <v>7</v>
      </c>
    </row>
    <row r="16" spans="1:7" x14ac:dyDescent="0.25">
      <c r="A16" s="2">
        <v>20070</v>
      </c>
      <c r="B16" s="3" t="s">
        <v>32</v>
      </c>
      <c r="C16" s="3">
        <v>12</v>
      </c>
      <c r="D16" s="3" t="s">
        <v>22</v>
      </c>
      <c r="E16" s="3" t="s">
        <v>23</v>
      </c>
      <c r="F16" s="3">
        <v>43</v>
      </c>
      <c r="G16" s="3">
        <v>2</v>
      </c>
    </row>
    <row r="17" spans="1:7" x14ac:dyDescent="0.25">
      <c r="A17" s="2">
        <v>20085</v>
      </c>
      <c r="B17" s="3" t="s">
        <v>21</v>
      </c>
      <c r="C17" s="4">
        <v>16</v>
      </c>
      <c r="D17" s="4" t="s">
        <v>22</v>
      </c>
      <c r="E17" s="4" t="s">
        <v>23</v>
      </c>
      <c r="F17" s="4">
        <v>44</v>
      </c>
      <c r="G17" s="4">
        <v>56</v>
      </c>
    </row>
    <row r="18" spans="1:7" x14ac:dyDescent="0.25">
      <c r="A18" s="2">
        <v>20001</v>
      </c>
      <c r="B18" s="3" t="s">
        <v>21</v>
      </c>
      <c r="C18" s="3">
        <v>18</v>
      </c>
      <c r="D18" s="3" t="s">
        <v>22</v>
      </c>
      <c r="E18" s="3" t="s">
        <v>23</v>
      </c>
      <c r="F18" s="3">
        <v>45</v>
      </c>
      <c r="G18" s="3">
        <v>27</v>
      </c>
    </row>
    <row r="19" spans="1:7" x14ac:dyDescent="0.25">
      <c r="A19" s="2">
        <v>20027</v>
      </c>
      <c r="B19" s="3" t="s">
        <v>21</v>
      </c>
      <c r="C19" s="3">
        <v>10</v>
      </c>
      <c r="D19" s="3" t="s">
        <v>22</v>
      </c>
      <c r="E19" s="3" t="s">
        <v>23</v>
      </c>
      <c r="F19" s="3">
        <v>45</v>
      </c>
      <c r="G19" s="3">
        <v>133</v>
      </c>
    </row>
    <row r="20" spans="1:7" x14ac:dyDescent="0.25">
      <c r="A20" s="2">
        <v>20101</v>
      </c>
      <c r="B20" s="4" t="s">
        <v>28</v>
      </c>
      <c r="C20" s="4">
        <v>12</v>
      </c>
      <c r="D20" s="4" t="s">
        <v>29</v>
      </c>
      <c r="E20" s="4" t="s">
        <v>30</v>
      </c>
      <c r="F20" s="4">
        <v>45</v>
      </c>
      <c r="G20" s="4">
        <v>29</v>
      </c>
    </row>
    <row r="21" spans="1:7" x14ac:dyDescent="0.25">
      <c r="A21" s="2">
        <v>20101</v>
      </c>
      <c r="B21" s="14" t="s">
        <v>28</v>
      </c>
      <c r="C21" s="14">
        <v>12</v>
      </c>
      <c r="D21" s="14" t="s">
        <v>29</v>
      </c>
      <c r="E21" s="14" t="s">
        <v>30</v>
      </c>
      <c r="F21" s="14">
        <v>45</v>
      </c>
      <c r="G21" s="14">
        <v>29</v>
      </c>
    </row>
    <row r="22" spans="1:7" x14ac:dyDescent="0.25">
      <c r="A22" s="2">
        <v>20129</v>
      </c>
      <c r="B22" s="3" t="s">
        <v>21</v>
      </c>
      <c r="C22" s="3">
        <v>12</v>
      </c>
      <c r="D22" s="3" t="s">
        <v>22</v>
      </c>
      <c r="E22" s="3" t="s">
        <v>25</v>
      </c>
      <c r="F22" s="3">
        <v>45</v>
      </c>
      <c r="G22" s="3">
        <v>76</v>
      </c>
    </row>
    <row r="23" spans="1:7" x14ac:dyDescent="0.25">
      <c r="A23" s="2">
        <v>20025</v>
      </c>
      <c r="B23" s="3" t="s">
        <v>32</v>
      </c>
      <c r="C23" s="3">
        <v>11</v>
      </c>
      <c r="D23" s="3" t="s">
        <v>22</v>
      </c>
      <c r="E23" s="3" t="s">
        <v>23</v>
      </c>
      <c r="F23" s="3">
        <f>2006-1960</f>
        <v>46</v>
      </c>
      <c r="G23" s="3">
        <f>(12*6)+9</f>
        <v>81</v>
      </c>
    </row>
    <row r="24" spans="1:7" x14ac:dyDescent="0.25">
      <c r="A24" s="2">
        <v>20032</v>
      </c>
      <c r="B24" s="3" t="s">
        <v>21</v>
      </c>
      <c r="C24" s="3">
        <v>16</v>
      </c>
      <c r="D24" s="3" t="s">
        <v>22</v>
      </c>
      <c r="E24" s="3" t="s">
        <v>25</v>
      </c>
      <c r="F24" s="3">
        <v>46</v>
      </c>
      <c r="G24" s="3">
        <v>81</v>
      </c>
    </row>
    <row r="25" spans="1:7" x14ac:dyDescent="0.25">
      <c r="A25" s="2">
        <v>20134</v>
      </c>
      <c r="B25" s="3" t="s">
        <v>32</v>
      </c>
      <c r="C25" s="3">
        <v>12</v>
      </c>
      <c r="D25" s="3" t="s">
        <v>22</v>
      </c>
      <c r="E25" s="3" t="s">
        <v>23</v>
      </c>
      <c r="F25" s="3">
        <v>46</v>
      </c>
      <c r="G25" s="3">
        <v>113</v>
      </c>
    </row>
    <row r="26" spans="1:7" x14ac:dyDescent="0.25">
      <c r="A26" s="2">
        <v>20004</v>
      </c>
      <c r="B26" s="4" t="s">
        <v>28</v>
      </c>
      <c r="C26" s="4">
        <v>13</v>
      </c>
      <c r="D26" s="4" t="s">
        <v>29</v>
      </c>
      <c r="E26" s="4" t="s">
        <v>30</v>
      </c>
      <c r="F26" s="4">
        <v>47</v>
      </c>
      <c r="G26" s="4">
        <v>82</v>
      </c>
    </row>
    <row r="27" spans="1:7" x14ac:dyDescent="0.25">
      <c r="A27" s="2">
        <v>20007</v>
      </c>
      <c r="B27" s="4" t="s">
        <v>35</v>
      </c>
      <c r="C27" s="4">
        <v>14</v>
      </c>
      <c r="D27" s="4" t="s">
        <v>22</v>
      </c>
      <c r="E27" s="4" t="s">
        <v>23</v>
      </c>
      <c r="F27" s="4">
        <v>47</v>
      </c>
      <c r="G27" s="4">
        <v>23</v>
      </c>
    </row>
    <row r="28" spans="1:7" x14ac:dyDescent="0.25">
      <c r="A28" s="2">
        <v>20010</v>
      </c>
      <c r="B28" s="4" t="s">
        <v>35</v>
      </c>
      <c r="C28" s="4">
        <v>12</v>
      </c>
      <c r="D28" s="4" t="s">
        <v>29</v>
      </c>
      <c r="E28" s="4" t="s">
        <v>37</v>
      </c>
      <c r="F28" s="4">
        <v>48</v>
      </c>
      <c r="G28" s="4">
        <v>10</v>
      </c>
    </row>
    <row r="29" spans="1:7" x14ac:dyDescent="0.25">
      <c r="A29" s="2">
        <v>20024</v>
      </c>
      <c r="B29" s="3" t="s">
        <v>32</v>
      </c>
      <c r="C29" s="3">
        <v>12</v>
      </c>
      <c r="D29" s="3" t="s">
        <v>22</v>
      </c>
      <c r="E29" s="3" t="s">
        <v>25</v>
      </c>
      <c r="F29" s="3">
        <v>48</v>
      </c>
      <c r="G29" s="3">
        <v>148</v>
      </c>
    </row>
    <row r="30" spans="1:7" x14ac:dyDescent="0.25">
      <c r="A30" s="2">
        <v>20033</v>
      </c>
      <c r="B30" s="3" t="s">
        <v>21</v>
      </c>
      <c r="C30" s="3">
        <v>12</v>
      </c>
      <c r="D30" s="3" t="s">
        <v>22</v>
      </c>
      <c r="E30" s="3" t="s">
        <v>23</v>
      </c>
      <c r="F30" s="3">
        <v>48</v>
      </c>
      <c r="G30" s="3">
        <v>67</v>
      </c>
    </row>
    <row r="31" spans="1:7" x14ac:dyDescent="0.25">
      <c r="A31" s="2">
        <v>20064</v>
      </c>
      <c r="B31" s="3" t="s">
        <v>21</v>
      </c>
      <c r="C31" s="3">
        <v>12</v>
      </c>
      <c r="D31" s="3" t="s">
        <v>22</v>
      </c>
      <c r="E31" s="3" t="s">
        <v>23</v>
      </c>
      <c r="F31" s="3">
        <v>48</v>
      </c>
      <c r="G31" s="3">
        <v>12</v>
      </c>
    </row>
    <row r="32" spans="1:7" x14ac:dyDescent="0.25">
      <c r="A32" s="2">
        <v>20082</v>
      </c>
      <c r="B32" s="3" t="s">
        <v>32</v>
      </c>
      <c r="C32" s="4">
        <v>14</v>
      </c>
      <c r="D32" s="4" t="s">
        <v>22</v>
      </c>
      <c r="E32" s="4" t="s">
        <v>23</v>
      </c>
      <c r="F32" s="4">
        <v>48</v>
      </c>
      <c r="G32" s="4">
        <v>11</v>
      </c>
    </row>
    <row r="33" spans="1:7" x14ac:dyDescent="0.25">
      <c r="A33" s="2">
        <v>20002</v>
      </c>
      <c r="B33" s="3" t="s">
        <v>21</v>
      </c>
      <c r="C33" s="4">
        <v>14</v>
      </c>
      <c r="D33" s="4" t="s">
        <v>22</v>
      </c>
      <c r="E33" s="4" t="s">
        <v>25</v>
      </c>
      <c r="F33" s="4">
        <v>49</v>
      </c>
      <c r="G33" s="4">
        <v>5</v>
      </c>
    </row>
    <row r="34" spans="1:7" x14ac:dyDescent="0.25">
      <c r="A34" s="2">
        <v>20052</v>
      </c>
      <c r="B34" s="3" t="s">
        <v>32</v>
      </c>
      <c r="C34" s="3">
        <v>14</v>
      </c>
      <c r="D34" s="3" t="s">
        <v>22</v>
      </c>
      <c r="E34" s="3" t="s">
        <v>25</v>
      </c>
      <c r="F34" s="3">
        <v>49</v>
      </c>
      <c r="G34" s="3">
        <f>12+9</f>
        <v>21</v>
      </c>
    </row>
    <row r="35" spans="1:7" x14ac:dyDescent="0.25">
      <c r="A35" s="2">
        <v>20095</v>
      </c>
      <c r="B35" s="11" t="s">
        <v>21</v>
      </c>
      <c r="C35" s="11">
        <v>12</v>
      </c>
      <c r="D35" s="11" t="s">
        <v>22</v>
      </c>
      <c r="E35" s="11" t="s">
        <v>58</v>
      </c>
      <c r="F35" s="11">
        <v>49</v>
      </c>
      <c r="G35" s="11">
        <v>114</v>
      </c>
    </row>
    <row r="36" spans="1:7" x14ac:dyDescent="0.25">
      <c r="A36" s="2" t="s">
        <v>40</v>
      </c>
      <c r="B36" s="9" t="s">
        <v>32</v>
      </c>
      <c r="C36" s="9">
        <v>12</v>
      </c>
      <c r="D36" s="9" t="s">
        <v>22</v>
      </c>
      <c r="E36" s="9" t="s">
        <v>25</v>
      </c>
      <c r="F36" s="9">
        <v>50</v>
      </c>
      <c r="G36" s="9">
        <v>27</v>
      </c>
    </row>
    <row r="37" spans="1:7" x14ac:dyDescent="0.25">
      <c r="A37" s="2">
        <v>20079</v>
      </c>
      <c r="B37" s="3" t="s">
        <v>32</v>
      </c>
      <c r="C37" s="4">
        <v>12</v>
      </c>
      <c r="D37" s="4" t="s">
        <v>22</v>
      </c>
      <c r="E37" s="3" t="s">
        <v>23</v>
      </c>
      <c r="F37" s="4">
        <v>50</v>
      </c>
      <c r="G37" s="4">
        <v>5</v>
      </c>
    </row>
    <row r="38" spans="1:7" x14ac:dyDescent="0.25">
      <c r="A38" s="2">
        <v>20109</v>
      </c>
      <c r="B38" s="4" t="s">
        <v>28</v>
      </c>
      <c r="C38" s="4">
        <v>12</v>
      </c>
      <c r="D38" s="4" t="s">
        <v>29</v>
      </c>
      <c r="E38" s="4" t="s">
        <v>37</v>
      </c>
      <c r="F38" s="4">
        <v>50</v>
      </c>
      <c r="G38" s="4">
        <v>6</v>
      </c>
    </row>
    <row r="39" spans="1:7" x14ac:dyDescent="0.25">
      <c r="A39" s="2" t="s">
        <v>24</v>
      </c>
      <c r="B39" s="8" t="s">
        <v>21</v>
      </c>
      <c r="C39" s="8">
        <v>18</v>
      </c>
      <c r="D39" s="8" t="s">
        <v>22</v>
      </c>
      <c r="E39" s="8" t="s">
        <v>23</v>
      </c>
      <c r="F39" s="8">
        <v>51</v>
      </c>
      <c r="G39" s="8">
        <v>106</v>
      </c>
    </row>
    <row r="40" spans="1:7" x14ac:dyDescent="0.25">
      <c r="A40" s="2" t="s">
        <v>36</v>
      </c>
      <c r="B40" s="9" t="s">
        <v>32</v>
      </c>
      <c r="C40" s="9">
        <v>14</v>
      </c>
      <c r="D40" s="9" t="s">
        <v>22</v>
      </c>
      <c r="E40" s="9" t="s">
        <v>23</v>
      </c>
      <c r="F40" s="9">
        <v>51</v>
      </c>
      <c r="G40" s="9">
        <v>64</v>
      </c>
    </row>
    <row r="41" spans="1:7" x14ac:dyDescent="0.25">
      <c r="A41" s="2">
        <v>20039</v>
      </c>
      <c r="B41" s="3" t="s">
        <v>21</v>
      </c>
      <c r="C41" s="3">
        <v>17</v>
      </c>
      <c r="D41" s="3" t="s">
        <v>22</v>
      </c>
      <c r="E41" s="3" t="s">
        <v>25</v>
      </c>
      <c r="F41" s="3">
        <v>51</v>
      </c>
      <c r="G41" s="3">
        <v>36</v>
      </c>
    </row>
    <row r="42" spans="1:7" x14ac:dyDescent="0.25">
      <c r="A42" s="2">
        <v>20061</v>
      </c>
      <c r="B42" s="3" t="s">
        <v>32</v>
      </c>
      <c r="C42" s="3">
        <v>18</v>
      </c>
      <c r="D42" s="3" t="s">
        <v>22</v>
      </c>
      <c r="E42" s="3" t="s">
        <v>25</v>
      </c>
      <c r="F42" s="3">
        <v>51</v>
      </c>
      <c r="G42" s="3">
        <f>12+7</f>
        <v>19</v>
      </c>
    </row>
    <row r="43" spans="1:7" x14ac:dyDescent="0.25">
      <c r="A43" s="2">
        <v>20084</v>
      </c>
      <c r="B43" s="3" t="s">
        <v>32</v>
      </c>
      <c r="C43" s="4">
        <v>19</v>
      </c>
      <c r="D43" s="4" t="s">
        <v>22</v>
      </c>
      <c r="E43" s="4" t="s">
        <v>23</v>
      </c>
      <c r="F43" s="4">
        <v>51</v>
      </c>
      <c r="G43" s="4">
        <v>8</v>
      </c>
    </row>
    <row r="44" spans="1:7" x14ac:dyDescent="0.25">
      <c r="A44" s="2">
        <v>20103</v>
      </c>
      <c r="B44" s="4" t="s">
        <v>28</v>
      </c>
      <c r="C44" s="4">
        <v>18</v>
      </c>
      <c r="D44" s="4" t="s">
        <v>29</v>
      </c>
      <c r="E44" s="4" t="s">
        <v>30</v>
      </c>
      <c r="F44" s="4">
        <v>52</v>
      </c>
      <c r="G44" s="4">
        <v>6</v>
      </c>
    </row>
    <row r="45" spans="1:7" x14ac:dyDescent="0.25">
      <c r="A45" s="2">
        <v>20015</v>
      </c>
      <c r="B45" s="3" t="s">
        <v>32</v>
      </c>
      <c r="C45" s="4">
        <v>12</v>
      </c>
      <c r="D45" s="4" t="s">
        <v>22</v>
      </c>
      <c r="E45" s="4" t="s">
        <v>23</v>
      </c>
      <c r="F45" s="4">
        <v>53</v>
      </c>
      <c r="G45" s="4">
        <v>15</v>
      </c>
    </row>
    <row r="46" spans="1:7" x14ac:dyDescent="0.25">
      <c r="A46" s="2">
        <v>20017</v>
      </c>
      <c r="B46" s="3" t="s">
        <v>21</v>
      </c>
      <c r="C46" s="3">
        <v>17</v>
      </c>
      <c r="D46" s="3" t="s">
        <v>22</v>
      </c>
      <c r="E46" s="3" t="s">
        <v>23</v>
      </c>
      <c r="F46" s="3">
        <v>53</v>
      </c>
      <c r="G46" s="3">
        <f>(12*7)+11</f>
        <v>95</v>
      </c>
    </row>
    <row r="47" spans="1:7" x14ac:dyDescent="0.25">
      <c r="A47" s="2">
        <v>20017</v>
      </c>
      <c r="B47" s="19" t="s">
        <v>21</v>
      </c>
      <c r="C47" s="19">
        <v>17</v>
      </c>
      <c r="D47" s="19" t="s">
        <v>22</v>
      </c>
      <c r="E47" s="19" t="s">
        <v>23</v>
      </c>
      <c r="F47" s="19">
        <v>53</v>
      </c>
      <c r="G47" s="19">
        <f>(12*7)+11</f>
        <v>95</v>
      </c>
    </row>
    <row r="48" spans="1:7" x14ac:dyDescent="0.25">
      <c r="A48" s="2">
        <v>20030</v>
      </c>
      <c r="B48" s="3" t="s">
        <v>32</v>
      </c>
      <c r="C48" s="3">
        <v>16</v>
      </c>
      <c r="D48" s="3" t="s">
        <v>22</v>
      </c>
      <c r="E48" s="3" t="s">
        <v>23</v>
      </c>
      <c r="F48" s="3">
        <v>53</v>
      </c>
      <c r="G48" s="3">
        <v>91</v>
      </c>
    </row>
    <row r="49" spans="1:7" x14ac:dyDescent="0.25">
      <c r="A49" s="2">
        <v>20042</v>
      </c>
      <c r="B49" s="3" t="s">
        <v>32</v>
      </c>
      <c r="C49" s="4">
        <v>12</v>
      </c>
      <c r="D49" s="4" t="s">
        <v>22</v>
      </c>
      <c r="E49" s="4" t="s">
        <v>25</v>
      </c>
      <c r="F49" s="4">
        <v>53</v>
      </c>
      <c r="G49" s="4">
        <v>61</v>
      </c>
    </row>
    <row r="50" spans="1:7" x14ac:dyDescent="0.25">
      <c r="A50" s="2">
        <v>20071</v>
      </c>
      <c r="B50" s="4" t="s">
        <v>35</v>
      </c>
      <c r="C50" s="4">
        <v>15</v>
      </c>
      <c r="D50" s="4" t="s">
        <v>29</v>
      </c>
      <c r="E50" s="4" t="s">
        <v>52</v>
      </c>
      <c r="F50" s="4">
        <v>53</v>
      </c>
      <c r="G50" s="4">
        <v>42</v>
      </c>
    </row>
    <row r="51" spans="1:7" x14ac:dyDescent="0.25">
      <c r="A51" s="2">
        <v>20104</v>
      </c>
      <c r="B51" s="4" t="s">
        <v>35</v>
      </c>
      <c r="C51" s="4">
        <v>12</v>
      </c>
      <c r="D51" s="4" t="s">
        <v>22</v>
      </c>
      <c r="E51" s="4" t="s">
        <v>37</v>
      </c>
      <c r="F51" s="4">
        <v>53</v>
      </c>
      <c r="G51" s="4">
        <v>35</v>
      </c>
    </row>
    <row r="52" spans="1:7" x14ac:dyDescent="0.25">
      <c r="A52" s="2" t="s">
        <v>45</v>
      </c>
      <c r="B52" s="17" t="s">
        <v>21</v>
      </c>
      <c r="C52" s="17">
        <v>16</v>
      </c>
      <c r="D52" s="17" t="s">
        <v>22</v>
      </c>
      <c r="E52" s="17" t="s">
        <v>25</v>
      </c>
      <c r="F52" s="17">
        <v>54</v>
      </c>
      <c r="G52" s="17">
        <v>168</v>
      </c>
    </row>
    <row r="53" spans="1:7" x14ac:dyDescent="0.25">
      <c r="A53" s="2">
        <v>20053</v>
      </c>
      <c r="B53" s="3" t="s">
        <v>21</v>
      </c>
      <c r="C53" s="3">
        <v>16</v>
      </c>
      <c r="D53" s="3" t="s">
        <v>22</v>
      </c>
      <c r="E53" s="3" t="s">
        <v>25</v>
      </c>
      <c r="F53" s="3">
        <v>54</v>
      </c>
      <c r="G53" s="3">
        <v>130</v>
      </c>
    </row>
    <row r="54" spans="1:7" x14ac:dyDescent="0.25">
      <c r="A54" s="2">
        <v>20054</v>
      </c>
      <c r="B54" s="3" t="s">
        <v>32</v>
      </c>
      <c r="C54" s="3">
        <v>18</v>
      </c>
      <c r="D54" s="3" t="s">
        <v>22</v>
      </c>
      <c r="E54" s="3" t="s">
        <v>25</v>
      </c>
      <c r="F54" s="3">
        <v>54</v>
      </c>
      <c r="G54" s="3">
        <v>7</v>
      </c>
    </row>
    <row r="55" spans="1:7" x14ac:dyDescent="0.25">
      <c r="A55" s="2" t="s">
        <v>55</v>
      </c>
      <c r="B55" s="10" t="s">
        <v>32</v>
      </c>
      <c r="C55" s="11">
        <v>14</v>
      </c>
      <c r="D55" s="11" t="s">
        <v>22</v>
      </c>
      <c r="E55" s="11" t="s">
        <v>23</v>
      </c>
      <c r="F55" s="11">
        <v>54</v>
      </c>
      <c r="G55" s="11">
        <v>94</v>
      </c>
    </row>
    <row r="56" spans="1:7" x14ac:dyDescent="0.25">
      <c r="A56" s="2">
        <v>20086</v>
      </c>
      <c r="B56" s="3" t="s">
        <v>32</v>
      </c>
      <c r="C56" s="4">
        <v>12</v>
      </c>
      <c r="D56" s="4" t="s">
        <v>22</v>
      </c>
      <c r="E56" s="4" t="s">
        <v>23</v>
      </c>
      <c r="F56" s="4">
        <v>54</v>
      </c>
      <c r="G56" s="4">
        <v>4</v>
      </c>
    </row>
    <row r="57" spans="1:7" x14ac:dyDescent="0.25">
      <c r="A57" s="2">
        <v>20105</v>
      </c>
      <c r="B57" s="4" t="s">
        <v>35</v>
      </c>
      <c r="C57" s="4">
        <v>16</v>
      </c>
      <c r="D57" s="4" t="s">
        <v>22</v>
      </c>
      <c r="E57" s="4" t="s">
        <v>23</v>
      </c>
      <c r="F57" s="4">
        <v>54</v>
      </c>
      <c r="G57" s="4">
        <v>4</v>
      </c>
    </row>
    <row r="58" spans="1:7" x14ac:dyDescent="0.25">
      <c r="A58" s="2">
        <v>20106</v>
      </c>
      <c r="B58" s="4" t="s">
        <v>28</v>
      </c>
      <c r="C58" s="4">
        <v>12</v>
      </c>
      <c r="D58" s="4" t="s">
        <v>29</v>
      </c>
      <c r="E58" s="4" t="s">
        <v>37</v>
      </c>
      <c r="F58" s="4">
        <v>54</v>
      </c>
      <c r="G58" s="4">
        <v>7</v>
      </c>
    </row>
    <row r="59" spans="1:7" x14ac:dyDescent="0.25">
      <c r="A59" s="2">
        <v>20121</v>
      </c>
      <c r="B59" s="3" t="s">
        <v>21</v>
      </c>
      <c r="C59" s="3">
        <v>12</v>
      </c>
      <c r="D59" s="3" t="s">
        <v>22</v>
      </c>
      <c r="E59" s="3" t="s">
        <v>23</v>
      </c>
      <c r="F59" s="3">
        <v>54</v>
      </c>
      <c r="G59" s="3">
        <v>18</v>
      </c>
    </row>
    <row r="60" spans="1:7" x14ac:dyDescent="0.25">
      <c r="A60" s="2" t="s">
        <v>26</v>
      </c>
      <c r="B60" s="8" t="s">
        <v>21</v>
      </c>
      <c r="C60" s="9">
        <v>14</v>
      </c>
      <c r="D60" s="8" t="s">
        <v>22</v>
      </c>
      <c r="E60" s="9" t="s">
        <v>25</v>
      </c>
      <c r="F60" s="9">
        <v>55</v>
      </c>
      <c r="G60" s="9">
        <v>73</v>
      </c>
    </row>
    <row r="61" spans="1:7" x14ac:dyDescent="0.25">
      <c r="A61" s="2">
        <v>20009</v>
      </c>
      <c r="B61" s="4" t="s">
        <v>35</v>
      </c>
      <c r="C61" s="4">
        <v>16</v>
      </c>
      <c r="D61" s="4" t="s">
        <v>29</v>
      </c>
      <c r="E61" s="4" t="s">
        <v>37</v>
      </c>
      <c r="F61" s="4">
        <v>55</v>
      </c>
      <c r="G61" s="4">
        <v>10</v>
      </c>
    </row>
    <row r="62" spans="1:7" x14ac:dyDescent="0.25">
      <c r="A62" s="2">
        <v>20018</v>
      </c>
      <c r="B62" s="3" t="s">
        <v>21</v>
      </c>
      <c r="C62" s="3">
        <v>12</v>
      </c>
      <c r="D62" s="3" t="s">
        <v>22</v>
      </c>
      <c r="E62" s="3" t="s">
        <v>25</v>
      </c>
      <c r="F62" s="3">
        <v>55</v>
      </c>
      <c r="G62" s="3">
        <v>81</v>
      </c>
    </row>
    <row r="63" spans="1:7" x14ac:dyDescent="0.25">
      <c r="A63" s="2">
        <v>20048</v>
      </c>
      <c r="B63" s="3" t="s">
        <v>32</v>
      </c>
      <c r="C63" s="3">
        <v>12</v>
      </c>
      <c r="D63" s="3" t="s">
        <v>22</v>
      </c>
      <c r="E63" s="3" t="s">
        <v>25</v>
      </c>
      <c r="F63" s="3">
        <v>55</v>
      </c>
      <c r="G63" s="3">
        <v>19</v>
      </c>
    </row>
    <row r="64" spans="1:7" x14ac:dyDescent="0.25">
      <c r="A64" s="2">
        <v>20060</v>
      </c>
      <c r="B64" s="3" t="s">
        <v>21</v>
      </c>
      <c r="C64" s="3">
        <v>12</v>
      </c>
      <c r="D64" s="3" t="s">
        <v>22</v>
      </c>
      <c r="E64" s="3" t="s">
        <v>49</v>
      </c>
      <c r="F64" s="3">
        <v>55</v>
      </c>
      <c r="G64" s="3">
        <v>19</v>
      </c>
    </row>
    <row r="65" spans="1:7" x14ac:dyDescent="0.25">
      <c r="A65" s="2">
        <v>20068</v>
      </c>
      <c r="B65" s="3" t="s">
        <v>21</v>
      </c>
      <c r="C65" s="4">
        <v>16</v>
      </c>
      <c r="D65" s="3" t="s">
        <v>22</v>
      </c>
      <c r="E65" s="3" t="s">
        <v>25</v>
      </c>
      <c r="F65" s="4">
        <v>55</v>
      </c>
      <c r="G65" s="4">
        <v>381</v>
      </c>
    </row>
    <row r="66" spans="1:7" x14ac:dyDescent="0.25">
      <c r="A66" s="2">
        <v>20090</v>
      </c>
      <c r="B66" s="3" t="s">
        <v>32</v>
      </c>
      <c r="C66" s="4">
        <v>12</v>
      </c>
      <c r="D66" s="4" t="s">
        <v>22</v>
      </c>
      <c r="E66" s="4" t="s">
        <v>25</v>
      </c>
      <c r="F66" s="4">
        <v>55</v>
      </c>
      <c r="G66" s="4">
        <v>4</v>
      </c>
    </row>
    <row r="67" spans="1:7" x14ac:dyDescent="0.25">
      <c r="A67" s="2">
        <v>20132</v>
      </c>
      <c r="B67" s="3" t="s">
        <v>21</v>
      </c>
      <c r="C67" s="4">
        <v>12</v>
      </c>
      <c r="D67" s="3" t="s">
        <v>22</v>
      </c>
      <c r="E67" s="4" t="s">
        <v>23</v>
      </c>
      <c r="F67" s="4">
        <v>55</v>
      </c>
      <c r="G67" s="4">
        <v>163</v>
      </c>
    </row>
    <row r="68" spans="1:7" x14ac:dyDescent="0.25">
      <c r="A68" s="2">
        <v>20041</v>
      </c>
      <c r="B68" s="3" t="s">
        <v>32</v>
      </c>
      <c r="C68" s="3">
        <v>12</v>
      </c>
      <c r="D68" s="3" t="s">
        <v>22</v>
      </c>
      <c r="E68" s="3" t="s">
        <v>25</v>
      </c>
      <c r="F68" s="20">
        <v>56</v>
      </c>
      <c r="G68" s="20">
        <v>33</v>
      </c>
    </row>
    <row r="69" spans="1:7" x14ac:dyDescent="0.25">
      <c r="A69" s="2">
        <v>20091</v>
      </c>
      <c r="B69" s="4" t="s">
        <v>35</v>
      </c>
      <c r="C69" s="4">
        <v>21</v>
      </c>
      <c r="D69" s="4" t="s">
        <v>29</v>
      </c>
      <c r="E69" s="4" t="s">
        <v>37</v>
      </c>
      <c r="F69" s="4">
        <v>56</v>
      </c>
      <c r="G69" s="4">
        <v>52</v>
      </c>
    </row>
    <row r="70" spans="1:7" x14ac:dyDescent="0.25">
      <c r="A70" s="2">
        <v>20005</v>
      </c>
      <c r="B70" s="3" t="s">
        <v>32</v>
      </c>
      <c r="C70" s="4">
        <v>15</v>
      </c>
      <c r="D70" s="4" t="s">
        <v>22</v>
      </c>
      <c r="E70" s="4" t="s">
        <v>25</v>
      </c>
      <c r="F70" s="4">
        <v>57</v>
      </c>
      <c r="G70" s="4">
        <v>28</v>
      </c>
    </row>
    <row r="71" spans="1:7" x14ac:dyDescent="0.25">
      <c r="A71" s="2" t="s">
        <v>48</v>
      </c>
      <c r="B71" s="8" t="s">
        <v>32</v>
      </c>
      <c r="C71" s="8">
        <v>13</v>
      </c>
      <c r="D71" s="8" t="s">
        <v>22</v>
      </c>
      <c r="E71" s="8" t="s">
        <v>25</v>
      </c>
      <c r="F71" s="8">
        <v>57</v>
      </c>
      <c r="G71" s="8">
        <v>112</v>
      </c>
    </row>
    <row r="72" spans="1:7" x14ac:dyDescent="0.25">
      <c r="A72" s="2">
        <v>20078</v>
      </c>
      <c r="B72" s="3" t="s">
        <v>32</v>
      </c>
      <c r="C72" s="4">
        <v>12</v>
      </c>
      <c r="D72" s="4" t="s">
        <v>22</v>
      </c>
      <c r="E72" s="4" t="s">
        <v>23</v>
      </c>
      <c r="F72" s="4">
        <v>57</v>
      </c>
      <c r="G72" s="4">
        <v>3</v>
      </c>
    </row>
    <row r="73" spans="1:7" x14ac:dyDescent="0.25">
      <c r="A73" s="2">
        <v>20087</v>
      </c>
      <c r="B73" s="3" t="s">
        <v>21</v>
      </c>
      <c r="C73" s="4">
        <v>20</v>
      </c>
      <c r="D73" s="4" t="s">
        <v>22</v>
      </c>
      <c r="E73" s="4" t="s">
        <v>25</v>
      </c>
      <c r="F73" s="4">
        <v>57</v>
      </c>
      <c r="G73" s="4">
        <v>15</v>
      </c>
    </row>
    <row r="74" spans="1:7" x14ac:dyDescent="0.25">
      <c r="A74" s="2">
        <v>20089</v>
      </c>
      <c r="B74" s="3" t="s">
        <v>32</v>
      </c>
      <c r="C74" s="4">
        <v>12</v>
      </c>
      <c r="D74" s="3" t="s">
        <v>22</v>
      </c>
      <c r="E74" s="4" t="s">
        <v>25</v>
      </c>
      <c r="F74" s="4">
        <v>57</v>
      </c>
      <c r="G74" s="4">
        <v>3</v>
      </c>
    </row>
    <row r="75" spans="1:7" x14ac:dyDescent="0.25">
      <c r="A75" s="2" t="s">
        <v>43</v>
      </c>
      <c r="B75" s="8" t="s">
        <v>32</v>
      </c>
      <c r="C75" s="9">
        <v>12</v>
      </c>
      <c r="D75" s="8" t="s">
        <v>22</v>
      </c>
      <c r="E75" s="9" t="s">
        <v>23</v>
      </c>
      <c r="F75" s="9">
        <v>58</v>
      </c>
      <c r="G75" s="9">
        <v>79</v>
      </c>
    </row>
    <row r="76" spans="1:7" x14ac:dyDescent="0.25">
      <c r="A76" s="2">
        <v>20016</v>
      </c>
      <c r="B76" s="3" t="s">
        <v>32</v>
      </c>
      <c r="C76" s="3">
        <v>16</v>
      </c>
      <c r="D76" s="3" t="s">
        <v>22</v>
      </c>
      <c r="E76" s="3" t="s">
        <v>23</v>
      </c>
      <c r="F76" s="3">
        <v>58</v>
      </c>
      <c r="G76" s="3">
        <v>26</v>
      </c>
    </row>
    <row r="77" spans="1:7" x14ac:dyDescent="0.25">
      <c r="A77" s="2" t="s">
        <v>50</v>
      </c>
      <c r="B77" s="23" t="s">
        <v>32</v>
      </c>
      <c r="C77" s="23">
        <v>18</v>
      </c>
      <c r="D77" s="23" t="s">
        <v>22</v>
      </c>
      <c r="E77" s="23" t="s">
        <v>25</v>
      </c>
      <c r="F77" s="23">
        <v>58</v>
      </c>
      <c r="G77" s="23">
        <v>109</v>
      </c>
    </row>
    <row r="78" spans="1:7" x14ac:dyDescent="0.25">
      <c r="A78" s="2">
        <v>20075</v>
      </c>
      <c r="B78" s="3" t="s">
        <v>21</v>
      </c>
      <c r="C78" s="4">
        <v>15</v>
      </c>
      <c r="D78" s="4" t="s">
        <v>22</v>
      </c>
      <c r="E78" s="4" t="s">
        <v>25</v>
      </c>
      <c r="F78" s="4">
        <v>58</v>
      </c>
      <c r="G78" s="4">
        <v>2</v>
      </c>
    </row>
    <row r="79" spans="1:7" x14ac:dyDescent="0.25">
      <c r="A79" s="2" t="s">
        <v>54</v>
      </c>
      <c r="B79" s="16" t="s">
        <v>21</v>
      </c>
      <c r="C79" s="18">
        <v>15</v>
      </c>
      <c r="D79" s="17" t="s">
        <v>22</v>
      </c>
      <c r="E79" s="18" t="s">
        <v>25</v>
      </c>
      <c r="F79" s="18">
        <v>58</v>
      </c>
      <c r="G79" s="18">
        <v>7</v>
      </c>
    </row>
    <row r="80" spans="1:7" x14ac:dyDescent="0.25">
      <c r="A80" s="2">
        <v>20081</v>
      </c>
      <c r="B80" s="3" t="s">
        <v>21</v>
      </c>
      <c r="C80" s="4">
        <v>12</v>
      </c>
      <c r="D80" s="4" t="s">
        <v>22</v>
      </c>
      <c r="E80" s="4" t="s">
        <v>25</v>
      </c>
      <c r="F80" s="4">
        <v>58</v>
      </c>
      <c r="G80" s="4">
        <v>12</v>
      </c>
    </row>
    <row r="81" spans="1:7" x14ac:dyDescent="0.25">
      <c r="A81" s="2" t="s">
        <v>56</v>
      </c>
      <c r="B81" s="24"/>
      <c r="C81" s="24">
        <v>21</v>
      </c>
      <c r="D81" s="24" t="s">
        <v>22</v>
      </c>
      <c r="E81" s="24" t="s">
        <v>25</v>
      </c>
      <c r="F81" s="24">
        <v>58</v>
      </c>
      <c r="G81" s="24">
        <v>73</v>
      </c>
    </row>
    <row r="82" spans="1:7" x14ac:dyDescent="0.25">
      <c r="A82" s="2">
        <v>20126</v>
      </c>
      <c r="B82" s="3" t="s">
        <v>32</v>
      </c>
      <c r="C82" s="4">
        <v>16</v>
      </c>
      <c r="D82" s="3" t="s">
        <v>22</v>
      </c>
      <c r="E82" s="3" t="s">
        <v>25</v>
      </c>
      <c r="F82" s="4">
        <v>58</v>
      </c>
      <c r="G82" s="4">
        <v>24</v>
      </c>
    </row>
    <row r="83" spans="1:7" x14ac:dyDescent="0.25">
      <c r="A83" s="2">
        <v>20028</v>
      </c>
      <c r="B83" s="3" t="s">
        <v>32</v>
      </c>
      <c r="C83" s="3">
        <v>16</v>
      </c>
      <c r="D83" s="3" t="s">
        <v>22</v>
      </c>
      <c r="E83" s="3" t="s">
        <v>25</v>
      </c>
      <c r="F83" s="3">
        <f>2006-1947</f>
        <v>59</v>
      </c>
      <c r="G83" s="3">
        <f>(12*6)+9</f>
        <v>81</v>
      </c>
    </row>
    <row r="84" spans="1:7" x14ac:dyDescent="0.25">
      <c r="A84" s="2">
        <v>20051</v>
      </c>
      <c r="B84" s="3" t="s">
        <v>21</v>
      </c>
      <c r="C84" s="3">
        <v>12</v>
      </c>
      <c r="D84" s="3" t="s">
        <v>22</v>
      </c>
      <c r="E84" s="3" t="s">
        <v>23</v>
      </c>
      <c r="F84" s="3">
        <v>59</v>
      </c>
      <c r="G84" s="3">
        <v>6</v>
      </c>
    </row>
    <row r="85" spans="1:7" x14ac:dyDescent="0.25">
      <c r="A85" s="2">
        <v>20056</v>
      </c>
      <c r="B85" s="3" t="s">
        <v>32</v>
      </c>
      <c r="C85" s="3">
        <v>12</v>
      </c>
      <c r="D85" s="3" t="s">
        <v>22</v>
      </c>
      <c r="E85" s="3" t="s">
        <v>23</v>
      </c>
      <c r="F85" s="3">
        <v>59</v>
      </c>
      <c r="G85" s="3">
        <v>16</v>
      </c>
    </row>
    <row r="86" spans="1:7" x14ac:dyDescent="0.25">
      <c r="A86" s="2">
        <v>20057</v>
      </c>
      <c r="B86" s="3" t="s">
        <v>32</v>
      </c>
      <c r="C86" s="3">
        <v>12</v>
      </c>
      <c r="D86" s="3" t="s">
        <v>22</v>
      </c>
      <c r="E86" s="3" t="s">
        <v>23</v>
      </c>
      <c r="F86" s="20">
        <v>59</v>
      </c>
      <c r="G86" s="3">
        <v>9</v>
      </c>
    </row>
    <row r="87" spans="1:7" x14ac:dyDescent="0.25">
      <c r="A87" s="2">
        <v>20076</v>
      </c>
      <c r="B87" s="3" t="s">
        <v>21</v>
      </c>
      <c r="C87" s="4">
        <v>14</v>
      </c>
      <c r="D87" s="4" t="s">
        <v>22</v>
      </c>
      <c r="E87" s="4" t="s">
        <v>23</v>
      </c>
      <c r="F87" s="4">
        <v>59</v>
      </c>
      <c r="G87" s="4">
        <v>2</v>
      </c>
    </row>
    <row r="88" spans="1:7" x14ac:dyDescent="0.25">
      <c r="A88" s="2">
        <v>20122</v>
      </c>
      <c r="B88" s="3" t="s">
        <v>21</v>
      </c>
      <c r="C88" s="4">
        <v>14</v>
      </c>
      <c r="D88" s="4" t="s">
        <v>22</v>
      </c>
      <c r="E88" s="4" t="s">
        <v>25</v>
      </c>
      <c r="F88" s="4">
        <v>59</v>
      </c>
      <c r="G88" s="4">
        <v>7</v>
      </c>
    </row>
    <row r="89" spans="1:7" x14ac:dyDescent="0.25">
      <c r="A89" s="2">
        <v>20062</v>
      </c>
      <c r="B89" s="3" t="s">
        <v>32</v>
      </c>
      <c r="C89" s="3">
        <v>12</v>
      </c>
      <c r="D89" s="3" t="s">
        <v>22</v>
      </c>
      <c r="E89" s="3" t="s">
        <v>23</v>
      </c>
      <c r="F89" s="3">
        <v>60</v>
      </c>
      <c r="G89" s="3">
        <v>24</v>
      </c>
    </row>
    <row r="90" spans="1:7" x14ac:dyDescent="0.25">
      <c r="A90" s="2">
        <v>20077</v>
      </c>
      <c r="B90" s="3" t="s">
        <v>21</v>
      </c>
      <c r="C90" s="4">
        <v>20</v>
      </c>
      <c r="D90" s="4" t="s">
        <v>22</v>
      </c>
      <c r="E90" s="4" t="s">
        <v>25</v>
      </c>
      <c r="F90" s="4">
        <v>60</v>
      </c>
      <c r="G90" s="4">
        <v>9</v>
      </c>
    </row>
    <row r="91" spans="1:7" x14ac:dyDescent="0.25">
      <c r="A91" s="2">
        <v>20094</v>
      </c>
      <c r="B91" s="3" t="s">
        <v>21</v>
      </c>
      <c r="C91" s="4">
        <v>21</v>
      </c>
      <c r="D91" s="4" t="s">
        <v>22</v>
      </c>
      <c r="E91" s="4" t="s">
        <v>25</v>
      </c>
      <c r="F91" s="4">
        <v>60</v>
      </c>
      <c r="G91" s="4">
        <v>8</v>
      </c>
    </row>
    <row r="92" spans="1:7" x14ac:dyDescent="0.25">
      <c r="A92" s="2" t="s">
        <v>44</v>
      </c>
      <c r="B92" s="10" t="s">
        <v>21</v>
      </c>
      <c r="C92" s="10">
        <v>17</v>
      </c>
      <c r="D92" s="10" t="s">
        <v>22</v>
      </c>
      <c r="E92" s="10" t="s">
        <v>23</v>
      </c>
      <c r="F92" s="10">
        <v>61</v>
      </c>
      <c r="G92" s="10">
        <v>186</v>
      </c>
    </row>
    <row r="93" spans="1:7" x14ac:dyDescent="0.25">
      <c r="A93" s="2">
        <v>20031</v>
      </c>
      <c r="B93" s="3" t="s">
        <v>32</v>
      </c>
      <c r="C93" s="3">
        <v>21</v>
      </c>
      <c r="D93" s="3" t="s">
        <v>22</v>
      </c>
      <c r="E93" s="3" t="s">
        <v>25</v>
      </c>
      <c r="F93" s="3">
        <v>61</v>
      </c>
      <c r="G93" s="3">
        <v>171</v>
      </c>
    </row>
    <row r="94" spans="1:7" x14ac:dyDescent="0.25">
      <c r="A94" s="2">
        <v>20037</v>
      </c>
      <c r="B94" s="3" t="s">
        <v>32</v>
      </c>
      <c r="C94" s="3">
        <v>19</v>
      </c>
      <c r="D94" s="3" t="s">
        <v>22</v>
      </c>
      <c r="E94" s="3" t="s">
        <v>25</v>
      </c>
      <c r="F94" s="3">
        <v>61</v>
      </c>
      <c r="G94" s="3">
        <v>81</v>
      </c>
    </row>
    <row r="95" spans="1:7" x14ac:dyDescent="0.25">
      <c r="A95" s="2">
        <v>20112</v>
      </c>
      <c r="B95" s="4" t="s">
        <v>35</v>
      </c>
      <c r="C95" s="4">
        <v>12</v>
      </c>
      <c r="D95" s="4" t="s">
        <v>29</v>
      </c>
      <c r="E95" s="4" t="s">
        <v>37</v>
      </c>
      <c r="F95" s="4">
        <v>61</v>
      </c>
      <c r="G95" s="4">
        <v>29</v>
      </c>
    </row>
    <row r="96" spans="1:7" x14ac:dyDescent="0.25">
      <c r="A96" s="2" t="s">
        <v>33</v>
      </c>
      <c r="B96" s="8" t="s">
        <v>32</v>
      </c>
      <c r="C96" s="9">
        <v>15</v>
      </c>
      <c r="D96" s="8" t="s">
        <v>22</v>
      </c>
      <c r="E96" s="9" t="s">
        <v>25</v>
      </c>
      <c r="F96" s="9">
        <v>62</v>
      </c>
      <c r="G96" s="9">
        <v>88</v>
      </c>
    </row>
    <row r="97" spans="1:7" x14ac:dyDescent="0.25">
      <c r="A97" s="2">
        <v>20008</v>
      </c>
      <c r="B97" s="4" t="s">
        <v>35</v>
      </c>
      <c r="C97" s="4">
        <v>19</v>
      </c>
      <c r="D97" s="4" t="s">
        <v>29</v>
      </c>
      <c r="E97" s="4" t="s">
        <v>37</v>
      </c>
      <c r="F97" s="4">
        <v>62</v>
      </c>
      <c r="G97" s="4">
        <v>6</v>
      </c>
    </row>
    <row r="98" spans="1:7" x14ac:dyDescent="0.25">
      <c r="A98" s="2">
        <v>20043</v>
      </c>
      <c r="B98" s="3" t="s">
        <v>32</v>
      </c>
      <c r="C98" s="4">
        <v>12</v>
      </c>
      <c r="D98" s="4" t="s">
        <v>22</v>
      </c>
      <c r="E98" s="4" t="s">
        <v>23</v>
      </c>
      <c r="F98" s="4">
        <v>62</v>
      </c>
      <c r="G98" s="4">
        <v>31</v>
      </c>
    </row>
    <row r="99" spans="1:7" x14ac:dyDescent="0.25">
      <c r="A99" s="2">
        <v>20096</v>
      </c>
      <c r="B99" s="12" t="s">
        <v>21</v>
      </c>
      <c r="C99" s="4">
        <v>12</v>
      </c>
      <c r="D99" s="4" t="s">
        <v>22</v>
      </c>
      <c r="E99" s="4" t="s">
        <v>58</v>
      </c>
      <c r="F99" s="4">
        <v>62</v>
      </c>
      <c r="G99" s="4">
        <v>37</v>
      </c>
    </row>
    <row r="100" spans="1:7" x14ac:dyDescent="0.25">
      <c r="A100" s="2">
        <v>20136</v>
      </c>
      <c r="B100" s="12" t="s">
        <v>21</v>
      </c>
      <c r="C100" s="4">
        <v>15</v>
      </c>
      <c r="D100" s="4" t="s">
        <v>22</v>
      </c>
      <c r="E100" s="4" t="s">
        <v>25</v>
      </c>
      <c r="F100" s="4">
        <v>62</v>
      </c>
      <c r="G100" s="4">
        <v>61</v>
      </c>
    </row>
    <row r="101" spans="1:7" x14ac:dyDescent="0.25">
      <c r="A101" s="2">
        <v>20021</v>
      </c>
      <c r="B101" s="3" t="s">
        <v>32</v>
      </c>
      <c r="C101" s="3">
        <v>16</v>
      </c>
      <c r="D101" s="3" t="s">
        <v>22</v>
      </c>
      <c r="E101" s="3" t="s">
        <v>23</v>
      </c>
      <c r="F101" s="3">
        <f>2006-1943</f>
        <v>63</v>
      </c>
      <c r="G101" s="3">
        <v>197</v>
      </c>
    </row>
    <row r="102" spans="1:7" x14ac:dyDescent="0.25">
      <c r="A102" s="2">
        <v>20036</v>
      </c>
      <c r="B102" s="3" t="s">
        <v>32</v>
      </c>
      <c r="C102" s="3">
        <v>11</v>
      </c>
      <c r="D102" s="3" t="s">
        <v>22</v>
      </c>
      <c r="E102" s="3" t="s">
        <v>23</v>
      </c>
      <c r="F102" s="3">
        <v>63</v>
      </c>
      <c r="G102" s="3">
        <v>59</v>
      </c>
    </row>
    <row r="103" spans="1:7" x14ac:dyDescent="0.25">
      <c r="A103" s="2">
        <v>20044</v>
      </c>
      <c r="B103" s="3" t="s">
        <v>32</v>
      </c>
      <c r="C103" s="3">
        <v>16</v>
      </c>
      <c r="D103" s="3" t="s">
        <v>22</v>
      </c>
      <c r="E103" s="3" t="s">
        <v>25</v>
      </c>
      <c r="F103" s="22">
        <v>63</v>
      </c>
      <c r="G103" s="3">
        <v>22</v>
      </c>
    </row>
    <row r="104" spans="1:7" x14ac:dyDescent="0.25">
      <c r="A104" s="2">
        <v>20014</v>
      </c>
      <c r="B104" s="3" t="s">
        <v>32</v>
      </c>
      <c r="C104" s="3">
        <v>19</v>
      </c>
      <c r="D104" s="3" t="s">
        <v>22</v>
      </c>
      <c r="E104" s="3" t="s">
        <v>25</v>
      </c>
      <c r="F104" s="3">
        <v>64</v>
      </c>
      <c r="G104" s="3">
        <v>13</v>
      </c>
    </row>
    <row r="105" spans="1:7" x14ac:dyDescent="0.25">
      <c r="A105" s="2">
        <v>20020</v>
      </c>
      <c r="B105" s="3" t="s">
        <v>32</v>
      </c>
      <c r="C105" s="3">
        <v>13</v>
      </c>
      <c r="D105" s="3" t="s">
        <v>22</v>
      </c>
      <c r="E105" s="3" t="s">
        <v>23</v>
      </c>
      <c r="F105" s="3">
        <v>64</v>
      </c>
      <c r="G105" s="3">
        <v>192</v>
      </c>
    </row>
    <row r="106" spans="1:7" x14ac:dyDescent="0.25">
      <c r="A106" s="2" t="s">
        <v>47</v>
      </c>
      <c r="B106" s="10" t="s">
        <v>32</v>
      </c>
      <c r="C106" s="3">
        <v>12</v>
      </c>
      <c r="D106" s="3" t="s">
        <v>22</v>
      </c>
      <c r="E106" s="3" t="s">
        <v>25</v>
      </c>
      <c r="F106" s="21">
        <v>64</v>
      </c>
      <c r="G106" s="21">
        <v>124</v>
      </c>
    </row>
    <row r="107" spans="1:7" x14ac:dyDescent="0.25">
      <c r="A107" s="2">
        <v>20069</v>
      </c>
      <c r="B107" s="3" t="s">
        <v>32</v>
      </c>
      <c r="C107" s="3">
        <v>12</v>
      </c>
      <c r="D107" s="4" t="s">
        <v>22</v>
      </c>
      <c r="E107" s="4" t="s">
        <v>25</v>
      </c>
      <c r="F107" s="3">
        <v>64</v>
      </c>
      <c r="G107" s="3">
        <v>19</v>
      </c>
    </row>
    <row r="108" spans="1:7" x14ac:dyDescent="0.25">
      <c r="A108" s="2">
        <v>20080</v>
      </c>
      <c r="B108" s="3" t="s">
        <v>21</v>
      </c>
      <c r="C108" s="4">
        <v>12</v>
      </c>
      <c r="D108" s="4" t="s">
        <v>22</v>
      </c>
      <c r="E108" s="4" t="s">
        <v>25</v>
      </c>
      <c r="F108" s="4">
        <v>64</v>
      </c>
      <c r="G108" s="4">
        <v>10</v>
      </c>
    </row>
    <row r="109" spans="1:7" x14ac:dyDescent="0.25">
      <c r="A109" s="2">
        <v>20083</v>
      </c>
      <c r="B109" s="3" t="s">
        <v>32</v>
      </c>
      <c r="C109" s="4">
        <v>16</v>
      </c>
      <c r="D109" s="4" t="s">
        <v>22</v>
      </c>
      <c r="E109" s="4" t="s">
        <v>25</v>
      </c>
      <c r="F109" s="4">
        <v>64</v>
      </c>
      <c r="G109" s="4">
        <v>7</v>
      </c>
    </row>
    <row r="110" spans="1:7" x14ac:dyDescent="0.25">
      <c r="A110" s="2">
        <v>20092</v>
      </c>
      <c r="B110" s="9" t="s">
        <v>21</v>
      </c>
      <c r="C110" s="9">
        <v>16</v>
      </c>
      <c r="D110" s="8" t="s">
        <v>22</v>
      </c>
      <c r="E110" s="9" t="s">
        <v>25</v>
      </c>
      <c r="F110" s="9">
        <v>64</v>
      </c>
      <c r="G110" s="9">
        <v>65</v>
      </c>
    </row>
    <row r="111" spans="1:7" x14ac:dyDescent="0.25">
      <c r="A111" s="2">
        <v>20118</v>
      </c>
      <c r="B111" s="26" t="s">
        <v>21</v>
      </c>
      <c r="C111" s="26">
        <v>14</v>
      </c>
      <c r="D111" s="26" t="s">
        <v>29</v>
      </c>
      <c r="E111" s="26" t="s">
        <v>37</v>
      </c>
      <c r="F111" s="26">
        <v>64</v>
      </c>
      <c r="G111" s="26">
        <v>18</v>
      </c>
    </row>
    <row r="112" spans="1:7" x14ac:dyDescent="0.25">
      <c r="A112" s="2">
        <v>20120</v>
      </c>
      <c r="B112" s="27" t="s">
        <v>21</v>
      </c>
      <c r="C112" s="25">
        <v>12</v>
      </c>
      <c r="D112" s="27" t="s">
        <v>22</v>
      </c>
      <c r="E112" s="25" t="s">
        <v>25</v>
      </c>
      <c r="F112" s="25">
        <v>64</v>
      </c>
      <c r="G112" s="25">
        <v>10</v>
      </c>
    </row>
    <row r="113" spans="1:7" x14ac:dyDescent="0.25">
      <c r="A113" s="2" t="s">
        <v>38</v>
      </c>
      <c r="B113" s="11" t="s">
        <v>35</v>
      </c>
      <c r="C113" s="11">
        <v>19</v>
      </c>
      <c r="D113" s="11" t="s">
        <v>29</v>
      </c>
      <c r="E113" s="11" t="s">
        <v>37</v>
      </c>
      <c r="F113" s="11">
        <v>65</v>
      </c>
      <c r="G113" s="11">
        <v>47</v>
      </c>
    </row>
    <row r="114" spans="1:7" x14ac:dyDescent="0.25">
      <c r="A114" s="2">
        <v>20038</v>
      </c>
      <c r="B114" s="3" t="s">
        <v>21</v>
      </c>
      <c r="C114" s="3">
        <v>12</v>
      </c>
      <c r="D114" s="3" t="s">
        <v>22</v>
      </c>
      <c r="E114" s="3" t="s">
        <v>25</v>
      </c>
      <c r="F114" s="3">
        <f>2006-1941</f>
        <v>65</v>
      </c>
      <c r="G114" s="3">
        <v>116</v>
      </c>
    </row>
    <row r="115" spans="1:7" x14ac:dyDescent="0.25">
      <c r="A115" s="2">
        <v>20046</v>
      </c>
      <c r="B115" s="3" t="s">
        <v>32</v>
      </c>
      <c r="C115" s="3">
        <v>12</v>
      </c>
      <c r="D115" s="3" t="s">
        <v>22</v>
      </c>
      <c r="E115" s="3" t="s">
        <v>25</v>
      </c>
      <c r="F115" s="20">
        <v>65</v>
      </c>
      <c r="G115" s="20">
        <v>27</v>
      </c>
    </row>
    <row r="116" spans="1:7" x14ac:dyDescent="0.25">
      <c r="A116" s="2">
        <v>20073</v>
      </c>
      <c r="B116" s="3" t="s">
        <v>32</v>
      </c>
      <c r="C116" s="4">
        <v>18</v>
      </c>
      <c r="D116" s="4" t="s">
        <v>22</v>
      </c>
      <c r="E116" s="4" t="s">
        <v>25</v>
      </c>
      <c r="F116" s="4">
        <v>65</v>
      </c>
      <c r="G116" s="4">
        <v>28</v>
      </c>
    </row>
    <row r="117" spans="1:7" x14ac:dyDescent="0.25">
      <c r="A117" s="2">
        <v>20093</v>
      </c>
      <c r="B117" s="3" t="s">
        <v>32</v>
      </c>
      <c r="C117" s="4">
        <v>14</v>
      </c>
      <c r="D117" s="4" t="s">
        <v>22</v>
      </c>
      <c r="E117" s="4" t="s">
        <v>25</v>
      </c>
      <c r="F117" s="4">
        <v>65</v>
      </c>
      <c r="G117" s="4">
        <v>3</v>
      </c>
    </row>
    <row r="118" spans="1:7" x14ac:dyDescent="0.25">
      <c r="A118" s="2">
        <v>20097</v>
      </c>
      <c r="B118" s="4" t="s">
        <v>21</v>
      </c>
      <c r="C118" s="4">
        <v>12</v>
      </c>
      <c r="D118" s="4" t="s">
        <v>22</v>
      </c>
      <c r="E118" s="4" t="s">
        <v>23</v>
      </c>
      <c r="F118" s="4">
        <v>65</v>
      </c>
      <c r="G118" s="4">
        <v>10</v>
      </c>
    </row>
    <row r="119" spans="1:7" x14ac:dyDescent="0.25">
      <c r="A119" s="2">
        <v>20098</v>
      </c>
      <c r="B119" s="4" t="s">
        <v>35</v>
      </c>
      <c r="C119" s="4">
        <v>18</v>
      </c>
      <c r="D119" s="4" t="s">
        <v>29</v>
      </c>
      <c r="E119" s="4" t="s">
        <v>37</v>
      </c>
      <c r="F119" s="4">
        <v>65</v>
      </c>
      <c r="G119" s="4">
        <v>9</v>
      </c>
    </row>
    <row r="120" spans="1:7" x14ac:dyDescent="0.25">
      <c r="A120" s="2">
        <v>20110</v>
      </c>
      <c r="B120" s="4" t="s">
        <v>28</v>
      </c>
      <c r="C120" s="4">
        <v>12</v>
      </c>
      <c r="D120" s="4" t="s">
        <v>29</v>
      </c>
      <c r="E120" s="4" t="s">
        <v>52</v>
      </c>
      <c r="F120" s="4">
        <v>65</v>
      </c>
      <c r="G120" s="4">
        <v>13</v>
      </c>
    </row>
    <row r="121" spans="1:7" x14ac:dyDescent="0.25">
      <c r="A121" s="2">
        <v>20128</v>
      </c>
      <c r="B121" s="12" t="s">
        <v>21</v>
      </c>
      <c r="C121" s="4">
        <v>12</v>
      </c>
      <c r="D121" s="4" t="s">
        <v>22</v>
      </c>
      <c r="E121" s="4" t="s">
        <v>23</v>
      </c>
      <c r="F121" s="4">
        <v>65</v>
      </c>
      <c r="G121" s="4">
        <v>7</v>
      </c>
    </row>
    <row r="122" spans="1:7" x14ac:dyDescent="0.25">
      <c r="A122" s="2">
        <v>20072</v>
      </c>
      <c r="B122" s="3" t="s">
        <v>32</v>
      </c>
      <c r="C122" s="4">
        <v>11</v>
      </c>
      <c r="D122" s="4" t="s">
        <v>22</v>
      </c>
      <c r="E122" s="4" t="s">
        <v>25</v>
      </c>
      <c r="F122" s="4">
        <v>67</v>
      </c>
      <c r="G122" s="4">
        <v>10</v>
      </c>
    </row>
    <row r="123" spans="1:7" x14ac:dyDescent="0.25">
      <c r="A123" s="2">
        <v>20108</v>
      </c>
      <c r="B123" s="4" t="s">
        <v>35</v>
      </c>
      <c r="C123" s="4">
        <v>19</v>
      </c>
      <c r="D123" s="4" t="s">
        <v>29</v>
      </c>
      <c r="E123" s="4" t="s">
        <v>37</v>
      </c>
      <c r="F123" s="4">
        <v>67</v>
      </c>
      <c r="G123" s="4">
        <v>7</v>
      </c>
    </row>
    <row r="124" spans="1:7" x14ac:dyDescent="0.25">
      <c r="A124" s="2">
        <v>20117</v>
      </c>
      <c r="B124" s="4" t="s">
        <v>35</v>
      </c>
      <c r="C124" s="4">
        <v>20</v>
      </c>
      <c r="D124" s="4" t="s">
        <v>29</v>
      </c>
      <c r="E124" s="4" t="s">
        <v>37</v>
      </c>
      <c r="F124" s="4">
        <v>67</v>
      </c>
      <c r="G124" s="4">
        <v>5</v>
      </c>
    </row>
    <row r="125" spans="1:7" x14ac:dyDescent="0.25">
      <c r="A125" s="2">
        <v>20125</v>
      </c>
      <c r="B125" s="3" t="s">
        <v>32</v>
      </c>
      <c r="C125" s="3">
        <v>21</v>
      </c>
      <c r="D125" s="3" t="s">
        <v>22</v>
      </c>
      <c r="E125" s="3" t="s">
        <v>25</v>
      </c>
      <c r="F125" s="3">
        <v>67</v>
      </c>
      <c r="G125" s="3">
        <v>8</v>
      </c>
    </row>
    <row r="126" spans="1:7" x14ac:dyDescent="0.25">
      <c r="A126" s="2">
        <v>20023</v>
      </c>
      <c r="B126" s="3" t="s">
        <v>32</v>
      </c>
      <c r="C126" s="3">
        <v>12</v>
      </c>
      <c r="D126" s="3" t="s">
        <v>22</v>
      </c>
      <c r="E126" s="3" t="s">
        <v>23</v>
      </c>
      <c r="F126" s="3">
        <v>68</v>
      </c>
      <c r="G126" s="3">
        <f>(12*16)+9</f>
        <v>201</v>
      </c>
    </row>
    <row r="127" spans="1:7" x14ac:dyDescent="0.25">
      <c r="A127" s="2">
        <v>20026</v>
      </c>
      <c r="B127" s="3" t="s">
        <v>21</v>
      </c>
      <c r="C127" s="3">
        <v>18</v>
      </c>
      <c r="D127" s="3" t="s">
        <v>22</v>
      </c>
      <c r="E127" s="3" t="s">
        <v>23</v>
      </c>
      <c r="F127" s="3">
        <v>68</v>
      </c>
      <c r="G127" s="3">
        <f>20*12</f>
        <v>240</v>
      </c>
    </row>
    <row r="128" spans="1:7" x14ac:dyDescent="0.25">
      <c r="A128" s="2" t="s">
        <v>46</v>
      </c>
      <c r="B128" s="17" t="s">
        <v>32</v>
      </c>
      <c r="C128" s="17">
        <v>19</v>
      </c>
      <c r="D128" s="17" t="s">
        <v>22</v>
      </c>
      <c r="E128" s="17" t="s">
        <v>25</v>
      </c>
      <c r="F128" s="8">
        <v>68</v>
      </c>
      <c r="G128" s="8">
        <v>171</v>
      </c>
    </row>
    <row r="129" spans="1:7" x14ac:dyDescent="0.25">
      <c r="A129" s="2">
        <v>20102</v>
      </c>
      <c r="B129" s="4" t="s">
        <v>28</v>
      </c>
      <c r="C129" s="4">
        <v>12</v>
      </c>
      <c r="D129" s="4" t="s">
        <v>29</v>
      </c>
      <c r="E129" s="4" t="s">
        <v>30</v>
      </c>
      <c r="F129" s="4">
        <v>68</v>
      </c>
      <c r="G129" s="4">
        <v>3</v>
      </c>
    </row>
    <row r="130" spans="1:7" x14ac:dyDescent="0.25">
      <c r="A130" s="2">
        <v>20133</v>
      </c>
      <c r="B130" s="3" t="s">
        <v>32</v>
      </c>
      <c r="C130" s="3">
        <v>12</v>
      </c>
      <c r="D130" s="3" t="s">
        <v>22</v>
      </c>
      <c r="E130" s="3" t="s">
        <v>23</v>
      </c>
      <c r="F130" s="3">
        <v>68</v>
      </c>
      <c r="G130" s="3">
        <v>70</v>
      </c>
    </row>
    <row r="131" spans="1:7" x14ac:dyDescent="0.25">
      <c r="A131" s="2">
        <v>20059</v>
      </c>
      <c r="B131" s="3" t="s">
        <v>21</v>
      </c>
      <c r="C131" s="3">
        <v>12</v>
      </c>
      <c r="D131" s="3" t="s">
        <v>22</v>
      </c>
      <c r="E131" s="3" t="s">
        <v>23</v>
      </c>
      <c r="F131" s="3">
        <v>69</v>
      </c>
      <c r="G131" s="3">
        <v>6</v>
      </c>
    </row>
    <row r="132" spans="1:7" x14ac:dyDescent="0.25">
      <c r="A132" s="2">
        <v>20088</v>
      </c>
      <c r="B132" s="3" t="s">
        <v>32</v>
      </c>
      <c r="C132" s="4">
        <v>16</v>
      </c>
      <c r="D132" s="4" t="s">
        <v>22</v>
      </c>
      <c r="E132" s="4" t="s">
        <v>25</v>
      </c>
      <c r="F132" s="4">
        <v>69</v>
      </c>
      <c r="G132" s="4">
        <v>4</v>
      </c>
    </row>
    <row r="133" spans="1:7" x14ac:dyDescent="0.25">
      <c r="A133" s="2">
        <v>20012</v>
      </c>
      <c r="B133" s="3" t="s">
        <v>32</v>
      </c>
      <c r="C133" s="3">
        <v>20</v>
      </c>
      <c r="D133" s="3" t="s">
        <v>22</v>
      </c>
      <c r="E133" s="3" t="s">
        <v>25</v>
      </c>
      <c r="F133" s="4">
        <v>70</v>
      </c>
      <c r="G133" s="4">
        <v>0.5</v>
      </c>
    </row>
    <row r="134" spans="1:7" x14ac:dyDescent="0.25">
      <c r="A134" s="2" t="s">
        <v>42</v>
      </c>
      <c r="B134" s="8" t="s">
        <v>32</v>
      </c>
      <c r="C134" s="8">
        <v>19</v>
      </c>
      <c r="D134" s="8" t="s">
        <v>22</v>
      </c>
      <c r="E134" s="8" t="s">
        <v>25</v>
      </c>
      <c r="F134" s="8">
        <v>70</v>
      </c>
      <c r="G134" s="8">
        <v>89</v>
      </c>
    </row>
    <row r="135" spans="1:7" x14ac:dyDescent="0.25">
      <c r="A135" s="2">
        <v>20063</v>
      </c>
      <c r="B135" s="3" t="s">
        <v>21</v>
      </c>
      <c r="C135" s="3">
        <v>11</v>
      </c>
      <c r="D135" s="3" t="s">
        <v>22</v>
      </c>
      <c r="E135" s="3" t="s">
        <v>23</v>
      </c>
      <c r="F135" s="3">
        <v>70</v>
      </c>
      <c r="G135" s="3">
        <v>6</v>
      </c>
    </row>
    <row r="136" spans="1:7" x14ac:dyDescent="0.25">
      <c r="A136" s="2">
        <v>20066</v>
      </c>
      <c r="B136" s="3" t="s">
        <v>32</v>
      </c>
      <c r="C136" s="3">
        <v>12</v>
      </c>
      <c r="D136" s="3" t="s">
        <v>22</v>
      </c>
      <c r="E136" s="3" t="s">
        <v>25</v>
      </c>
      <c r="F136" s="3">
        <v>70</v>
      </c>
      <c r="G136" s="3">
        <v>7</v>
      </c>
    </row>
    <row r="137" spans="1:7" x14ac:dyDescent="0.25">
      <c r="A137" s="2">
        <v>20100</v>
      </c>
      <c r="B137" s="4" t="s">
        <v>28</v>
      </c>
      <c r="C137" s="4">
        <v>12</v>
      </c>
      <c r="D137" s="4" t="s">
        <v>29</v>
      </c>
      <c r="E137" s="4" t="s">
        <v>52</v>
      </c>
      <c r="F137" s="4">
        <v>70</v>
      </c>
      <c r="G137" s="4">
        <v>25</v>
      </c>
    </row>
    <row r="138" spans="1:7" x14ac:dyDescent="0.25">
      <c r="A138" s="2">
        <v>20003</v>
      </c>
      <c r="B138" s="3" t="s">
        <v>21</v>
      </c>
      <c r="C138" s="4">
        <v>12</v>
      </c>
      <c r="D138" s="4" t="s">
        <v>22</v>
      </c>
      <c r="E138" s="4" t="s">
        <v>23</v>
      </c>
      <c r="F138" s="4">
        <v>71</v>
      </c>
      <c r="G138" s="4">
        <v>3</v>
      </c>
    </row>
    <row r="139" spans="1:7" x14ac:dyDescent="0.25">
      <c r="A139" s="2" t="s">
        <v>41</v>
      </c>
      <c r="B139" s="16" t="s">
        <v>32</v>
      </c>
      <c r="C139" s="17">
        <v>20</v>
      </c>
      <c r="D139" s="17" t="s">
        <v>22</v>
      </c>
      <c r="E139" s="17" t="s">
        <v>25</v>
      </c>
      <c r="F139" s="18">
        <v>71</v>
      </c>
      <c r="G139" s="18">
        <v>6</v>
      </c>
    </row>
    <row r="140" spans="1:7" x14ac:dyDescent="0.25">
      <c r="A140" s="2">
        <v>20013</v>
      </c>
      <c r="B140" s="4" t="s">
        <v>35</v>
      </c>
      <c r="C140" s="4">
        <v>20</v>
      </c>
      <c r="D140" s="4" t="s">
        <v>29</v>
      </c>
      <c r="E140" s="4" t="s">
        <v>37</v>
      </c>
      <c r="F140" s="4">
        <v>71</v>
      </c>
      <c r="G140" s="4">
        <v>12</v>
      </c>
    </row>
    <row r="141" spans="1:7" x14ac:dyDescent="0.25">
      <c r="A141" s="2">
        <v>20029</v>
      </c>
      <c r="B141" s="3" t="s">
        <v>32</v>
      </c>
      <c r="C141" s="3">
        <v>13</v>
      </c>
      <c r="D141" s="3" t="s">
        <v>22</v>
      </c>
      <c r="E141" s="3" t="s">
        <v>25</v>
      </c>
      <c r="F141" s="3">
        <v>71</v>
      </c>
      <c r="G141" s="3">
        <v>127</v>
      </c>
    </row>
    <row r="142" spans="1:7" x14ac:dyDescent="0.25">
      <c r="A142" s="2">
        <v>20099</v>
      </c>
      <c r="B142" s="4" t="s">
        <v>21</v>
      </c>
      <c r="C142" s="4">
        <v>12</v>
      </c>
      <c r="D142" s="4" t="s">
        <v>22</v>
      </c>
      <c r="E142" s="4" t="s">
        <v>58</v>
      </c>
      <c r="F142" s="4">
        <v>71</v>
      </c>
      <c r="G142" s="4">
        <v>3</v>
      </c>
    </row>
    <row r="143" spans="1:7" x14ac:dyDescent="0.25">
      <c r="A143" s="2">
        <v>20131</v>
      </c>
      <c r="B143" s="3" t="s">
        <v>32</v>
      </c>
      <c r="C143" s="3">
        <v>16</v>
      </c>
      <c r="D143" s="3" t="s">
        <v>22</v>
      </c>
      <c r="E143" s="3" t="s">
        <v>25</v>
      </c>
      <c r="F143" s="3">
        <v>71</v>
      </c>
      <c r="G143" s="3">
        <v>79</v>
      </c>
    </row>
    <row r="144" spans="1:7" x14ac:dyDescent="0.25">
      <c r="A144" s="2">
        <v>20137</v>
      </c>
      <c r="B144" s="4" t="s">
        <v>21</v>
      </c>
      <c r="C144" s="4">
        <v>12</v>
      </c>
      <c r="D144" s="4" t="s">
        <v>22</v>
      </c>
      <c r="E144" s="4" t="s">
        <v>23</v>
      </c>
      <c r="F144" s="4">
        <v>71</v>
      </c>
      <c r="G144" s="4">
        <v>45</v>
      </c>
    </row>
    <row r="145" spans="1:7" x14ac:dyDescent="0.25">
      <c r="A145" s="2">
        <v>20065</v>
      </c>
      <c r="B145" s="3" t="s">
        <v>32</v>
      </c>
      <c r="C145" s="3">
        <v>21</v>
      </c>
      <c r="D145" s="3" t="s">
        <v>22</v>
      </c>
      <c r="E145" s="3" t="s">
        <v>25</v>
      </c>
      <c r="F145" s="3">
        <v>72</v>
      </c>
      <c r="G145" s="3">
        <v>7</v>
      </c>
    </row>
    <row r="146" spans="1:7" x14ac:dyDescent="0.25">
      <c r="A146" s="2" t="s">
        <v>57</v>
      </c>
      <c r="B146" s="10" t="s">
        <v>32</v>
      </c>
      <c r="C146" s="11">
        <v>14</v>
      </c>
      <c r="D146" s="11" t="s">
        <v>22</v>
      </c>
      <c r="E146" s="11" t="s">
        <v>25</v>
      </c>
      <c r="F146" s="11">
        <v>72</v>
      </c>
      <c r="G146" s="11">
        <v>65</v>
      </c>
    </row>
    <row r="147" spans="1:7" x14ac:dyDescent="0.25">
      <c r="A147" s="2">
        <v>20124</v>
      </c>
      <c r="B147" s="3" t="s">
        <v>32</v>
      </c>
      <c r="C147" s="4">
        <v>12</v>
      </c>
      <c r="D147" s="4" t="s">
        <v>22</v>
      </c>
      <c r="E147" s="4" t="s">
        <v>25</v>
      </c>
      <c r="F147" s="4">
        <v>72</v>
      </c>
      <c r="G147" s="4">
        <v>29</v>
      </c>
    </row>
    <row r="148" spans="1:7" x14ac:dyDescent="0.25">
      <c r="A148" s="2">
        <v>20049</v>
      </c>
      <c r="B148" s="3" t="s">
        <v>21</v>
      </c>
      <c r="C148" s="3">
        <v>14</v>
      </c>
      <c r="D148" s="3" t="s">
        <v>22</v>
      </c>
      <c r="E148" s="3" t="s">
        <v>25</v>
      </c>
      <c r="F148" s="3">
        <f>2006-1933</f>
        <v>73</v>
      </c>
      <c r="G148" s="3">
        <v>15</v>
      </c>
    </row>
    <row r="149" spans="1:7" x14ac:dyDescent="0.25">
      <c r="A149" s="2" t="s">
        <v>59</v>
      </c>
      <c r="B149" s="18" t="s">
        <v>21</v>
      </c>
      <c r="C149" s="18">
        <v>12</v>
      </c>
      <c r="D149" s="18" t="s">
        <v>22</v>
      </c>
      <c r="E149" s="18" t="s">
        <v>58</v>
      </c>
      <c r="F149" s="18">
        <v>73</v>
      </c>
      <c r="G149" s="18">
        <v>24</v>
      </c>
    </row>
    <row r="150" spans="1:7" x14ac:dyDescent="0.25">
      <c r="A150" s="2">
        <v>20115</v>
      </c>
      <c r="B150" s="4" t="s">
        <v>35</v>
      </c>
      <c r="C150" s="4">
        <v>6</v>
      </c>
      <c r="D150" s="4" t="s">
        <v>29</v>
      </c>
      <c r="E150" s="4" t="s">
        <v>37</v>
      </c>
      <c r="F150" s="4">
        <v>73</v>
      </c>
      <c r="G150" s="4">
        <v>9</v>
      </c>
    </row>
    <row r="151" spans="1:7" x14ac:dyDescent="0.25">
      <c r="A151" s="2">
        <v>20040</v>
      </c>
      <c r="B151" s="3" t="s">
        <v>32</v>
      </c>
      <c r="C151" s="4">
        <v>14</v>
      </c>
      <c r="D151" s="4" t="s">
        <v>22</v>
      </c>
      <c r="E151" s="4" t="s">
        <v>25</v>
      </c>
      <c r="F151" s="4">
        <v>75</v>
      </c>
      <c r="G151" s="4">
        <v>57</v>
      </c>
    </row>
    <row r="152" spans="1:7" x14ac:dyDescent="0.25">
      <c r="A152" s="2">
        <v>20130</v>
      </c>
      <c r="B152" s="3" t="s">
        <v>32</v>
      </c>
      <c r="C152" s="4">
        <v>15</v>
      </c>
      <c r="D152" s="4" t="s">
        <v>22</v>
      </c>
      <c r="E152" s="4" t="s">
        <v>23</v>
      </c>
      <c r="F152" s="4">
        <v>75</v>
      </c>
      <c r="G152" s="4">
        <v>13</v>
      </c>
    </row>
    <row r="153" spans="1:7" x14ac:dyDescent="0.25">
      <c r="A153" s="2">
        <v>20019</v>
      </c>
      <c r="B153" s="10" t="s">
        <v>32</v>
      </c>
      <c r="C153" s="10">
        <v>12</v>
      </c>
      <c r="D153" s="10" t="s">
        <v>22</v>
      </c>
      <c r="E153" s="10" t="s">
        <v>25</v>
      </c>
      <c r="F153" s="10">
        <v>76</v>
      </c>
      <c r="G153" s="10">
        <v>227</v>
      </c>
    </row>
    <row r="154" spans="1:7" x14ac:dyDescent="0.25">
      <c r="A154" s="2">
        <v>20119</v>
      </c>
      <c r="B154" s="27" t="s">
        <v>32</v>
      </c>
      <c r="C154" s="25">
        <v>20</v>
      </c>
      <c r="D154" s="25" t="s">
        <v>22</v>
      </c>
      <c r="E154" s="25" t="s">
        <v>25</v>
      </c>
      <c r="F154" s="25">
        <v>76</v>
      </c>
      <c r="G154" s="25">
        <v>234</v>
      </c>
    </row>
    <row r="155" spans="1:7" x14ac:dyDescent="0.25">
      <c r="A155" s="2">
        <v>20022</v>
      </c>
      <c r="B155" s="3" t="s">
        <v>21</v>
      </c>
      <c r="C155" s="3">
        <v>16</v>
      </c>
      <c r="D155" s="3" t="s">
        <v>22</v>
      </c>
      <c r="E155" s="3" t="s">
        <v>25</v>
      </c>
      <c r="F155" s="3">
        <v>77</v>
      </c>
      <c r="G155" s="3">
        <v>108</v>
      </c>
    </row>
    <row r="156" spans="1:7" x14ac:dyDescent="0.25">
      <c r="A156" s="2">
        <v>20045</v>
      </c>
      <c r="B156" s="4" t="s">
        <v>35</v>
      </c>
      <c r="C156" s="4">
        <v>12</v>
      </c>
      <c r="D156" s="4" t="s">
        <v>29</v>
      </c>
      <c r="E156" s="4" t="s">
        <v>37</v>
      </c>
      <c r="F156" s="4">
        <v>77</v>
      </c>
      <c r="G156" s="4">
        <v>98</v>
      </c>
    </row>
    <row r="157" spans="1:7" x14ac:dyDescent="0.25">
      <c r="A157" s="2">
        <v>20035</v>
      </c>
      <c r="B157" s="3" t="s">
        <v>32</v>
      </c>
      <c r="C157" s="3">
        <v>12</v>
      </c>
      <c r="D157" s="3" t="s">
        <v>22</v>
      </c>
      <c r="E157" s="3" t="s">
        <v>25</v>
      </c>
      <c r="F157" s="3">
        <v>78</v>
      </c>
      <c r="G157" s="3">
        <v>49</v>
      </c>
    </row>
    <row r="158" spans="1:7" x14ac:dyDescent="0.25">
      <c r="A158" s="2">
        <v>20047</v>
      </c>
      <c r="B158" s="3" t="s">
        <v>21</v>
      </c>
      <c r="C158" s="3">
        <v>12</v>
      </c>
      <c r="D158" s="3" t="s">
        <v>22</v>
      </c>
      <c r="E158" s="3" t="s">
        <v>25</v>
      </c>
      <c r="F158" s="3">
        <v>78</v>
      </c>
      <c r="G158" s="3">
        <v>19</v>
      </c>
    </row>
    <row r="159" spans="1:7" x14ac:dyDescent="0.25">
      <c r="A159" s="2" t="s">
        <v>51</v>
      </c>
      <c r="B159" s="8" t="s">
        <v>32</v>
      </c>
      <c r="C159" s="8">
        <v>21</v>
      </c>
      <c r="D159" s="8" t="s">
        <v>22</v>
      </c>
      <c r="E159" s="8" t="s">
        <v>25</v>
      </c>
      <c r="F159" s="8">
        <v>79</v>
      </c>
      <c r="G159" s="8">
        <v>89</v>
      </c>
    </row>
    <row r="160" spans="1:7" x14ac:dyDescent="0.25">
      <c r="A160" s="2">
        <v>20123</v>
      </c>
      <c r="B160" s="3" t="s">
        <v>32</v>
      </c>
      <c r="C160" s="4">
        <v>12</v>
      </c>
      <c r="D160" s="4" t="s">
        <v>22</v>
      </c>
      <c r="E160" s="4" t="s">
        <v>25</v>
      </c>
      <c r="F160" s="4">
        <v>79</v>
      </c>
      <c r="G160" s="4">
        <v>51</v>
      </c>
    </row>
    <row r="161" spans="1:7" x14ac:dyDescent="0.25">
      <c r="A161" s="2">
        <v>20127</v>
      </c>
      <c r="B161" s="4" t="s">
        <v>32</v>
      </c>
      <c r="C161" s="4">
        <v>12</v>
      </c>
      <c r="D161" s="4" t="s">
        <v>22</v>
      </c>
      <c r="E161" s="4" t="s">
        <v>25</v>
      </c>
      <c r="F161" s="4">
        <v>79</v>
      </c>
      <c r="G161" s="4">
        <v>21</v>
      </c>
    </row>
    <row r="162" spans="1:7" x14ac:dyDescent="0.25">
      <c r="A162" s="2">
        <v>20135</v>
      </c>
      <c r="B162" s="3" t="s">
        <v>32</v>
      </c>
      <c r="C162" s="4">
        <v>21</v>
      </c>
      <c r="D162" s="4" t="s">
        <v>22</v>
      </c>
      <c r="E162" s="4" t="s">
        <v>25</v>
      </c>
      <c r="F162" s="4">
        <v>79</v>
      </c>
      <c r="G162" s="4">
        <v>170</v>
      </c>
    </row>
    <row r="163" spans="1:7" x14ac:dyDescent="0.25">
      <c r="A163" s="2" t="s">
        <v>27</v>
      </c>
      <c r="B163" s="10" t="s">
        <v>21</v>
      </c>
      <c r="C163" s="11"/>
      <c r="D163" s="11" t="s">
        <v>22</v>
      </c>
      <c r="E163" s="11" t="s">
        <v>23</v>
      </c>
      <c r="F163" s="11"/>
      <c r="G163" s="11"/>
    </row>
    <row r="164" spans="1:7" x14ac:dyDescent="0.25">
      <c r="A164" s="2" t="s">
        <v>31</v>
      </c>
      <c r="B164" s="11" t="s">
        <v>28</v>
      </c>
      <c r="C164" s="11">
        <v>13</v>
      </c>
      <c r="D164" s="11" t="s">
        <v>29</v>
      </c>
      <c r="E164" s="11" t="s">
        <v>30</v>
      </c>
      <c r="F164" s="11"/>
      <c r="G164" s="11"/>
    </row>
    <row r="165" spans="1:7" x14ac:dyDescent="0.25">
      <c r="A165" s="2" t="s">
        <v>39</v>
      </c>
      <c r="B165" s="11"/>
      <c r="C165" s="11"/>
      <c r="D165" s="11"/>
      <c r="E165" s="11"/>
      <c r="F165" s="11"/>
      <c r="G165" s="11"/>
    </row>
    <row r="166" spans="1:7" x14ac:dyDescent="0.25">
      <c r="A166" s="2"/>
      <c r="B166" s="15"/>
      <c r="C166" s="10"/>
      <c r="D166" s="10"/>
      <c r="E166" s="10"/>
      <c r="F166" s="11"/>
      <c r="G166" s="11"/>
    </row>
    <row r="167" spans="1:7" x14ac:dyDescent="0.25">
      <c r="A167" s="2">
        <v>20085</v>
      </c>
      <c r="B167" s="10"/>
      <c r="C167" s="11"/>
      <c r="D167" s="11"/>
      <c r="E167" s="11"/>
      <c r="F167" s="11"/>
      <c r="G167" s="11"/>
    </row>
    <row r="168" spans="1:7" x14ac:dyDescent="0.25">
      <c r="A168" s="2" t="s">
        <v>60</v>
      </c>
      <c r="B168" s="11" t="s">
        <v>28</v>
      </c>
      <c r="C168" s="11">
        <v>12</v>
      </c>
      <c r="D168" s="11" t="s">
        <v>29</v>
      </c>
      <c r="E168" s="11" t="s">
        <v>52</v>
      </c>
      <c r="F168" s="11"/>
      <c r="G168" s="11"/>
    </row>
    <row r="169" spans="1:7" x14ac:dyDescent="0.25">
      <c r="A169" s="28"/>
      <c r="B169" s="27"/>
      <c r="C169" s="25"/>
      <c r="D169" s="27"/>
      <c r="E169" s="25"/>
      <c r="F169" s="25"/>
      <c r="G169" s="25"/>
    </row>
    <row r="170" spans="1:7" x14ac:dyDescent="0.25">
      <c r="A170" s="28"/>
      <c r="B170" s="27"/>
      <c r="C170" s="25"/>
      <c r="D170" s="27"/>
      <c r="E170" s="25"/>
      <c r="F170" s="25"/>
      <c r="G170" s="25"/>
    </row>
    <row r="171" spans="1:7" x14ac:dyDescent="0.25">
      <c r="A171" s="28"/>
      <c r="B171" s="27"/>
      <c r="C171" s="25"/>
      <c r="D171" s="27"/>
      <c r="E171" s="25"/>
      <c r="F171" s="25"/>
      <c r="G171" s="25"/>
    </row>
    <row r="172" spans="1:7" x14ac:dyDescent="0.25">
      <c r="A172" s="28"/>
      <c r="B172" s="27"/>
      <c r="C172" s="25"/>
      <c r="D172" s="27"/>
      <c r="E172" s="25"/>
      <c r="F172" s="25"/>
      <c r="G172" s="25"/>
    </row>
    <row r="176" spans="1:7" x14ac:dyDescent="0.25">
      <c r="A176" s="28"/>
      <c r="B176" s="27"/>
      <c r="C176" s="25"/>
      <c r="D176" s="27"/>
      <c r="E176" s="25"/>
      <c r="F176" s="25"/>
      <c r="G176" s="25"/>
    </row>
    <row r="178" spans="1:7" x14ac:dyDescent="0.25">
      <c r="A178" s="28"/>
      <c r="B178" s="27"/>
      <c r="C178" s="25"/>
      <c r="D178" s="27"/>
      <c r="E178" s="25"/>
      <c r="F178" s="25"/>
      <c r="G178" s="25"/>
    </row>
    <row r="180" spans="1:7" ht="30.75" x14ac:dyDescent="0.45">
      <c r="A180" s="29"/>
      <c r="B180" s="30"/>
      <c r="C180" s="30"/>
      <c r="D180" s="30"/>
      <c r="E180" s="30"/>
      <c r="F180" s="30"/>
      <c r="G180" s="30"/>
    </row>
    <row r="181" spans="1:7" x14ac:dyDescent="0.25">
      <c r="B181" s="12"/>
    </row>
    <row r="182" spans="1:7" x14ac:dyDescent="0.25">
      <c r="B182" s="12"/>
    </row>
    <row r="183" spans="1:7" x14ac:dyDescent="0.25">
      <c r="B183" s="12"/>
    </row>
    <row r="184" spans="1:7" x14ac:dyDescent="0.25">
      <c r="B184" s="12"/>
    </row>
    <row r="185" spans="1:7" x14ac:dyDescent="0.25">
      <c r="B185" s="12"/>
    </row>
    <row r="186" spans="1:7" x14ac:dyDescent="0.25">
      <c r="B186" s="12"/>
    </row>
    <row r="187" spans="1:7" x14ac:dyDescent="0.25">
      <c r="B187" s="12"/>
    </row>
    <row r="188" spans="1:7" x14ac:dyDescent="0.25">
      <c r="B188" s="12"/>
    </row>
    <row r="189" spans="1:7" x14ac:dyDescent="0.25">
      <c r="B189" s="12"/>
    </row>
    <row r="190" spans="1:7" x14ac:dyDescent="0.25">
      <c r="B190" s="12"/>
    </row>
    <row r="191" spans="1:7" x14ac:dyDescent="0.25">
      <c r="B191" s="12"/>
    </row>
    <row r="192" spans="1:7" x14ac:dyDescent="0.25">
      <c r="B192" s="12"/>
    </row>
    <row r="193" spans="2:2" x14ac:dyDescent="0.25">
      <c r="B193" s="12"/>
    </row>
    <row r="194" spans="2:2" x14ac:dyDescent="0.25">
      <c r="B194" s="12"/>
    </row>
    <row r="195" spans="2:2" x14ac:dyDescent="0.25">
      <c r="B195" s="12"/>
    </row>
    <row r="196" spans="2:2" x14ac:dyDescent="0.25">
      <c r="B196" s="12"/>
    </row>
    <row r="197" spans="2:2" x14ac:dyDescent="0.25">
      <c r="B197" s="12"/>
    </row>
    <row r="198" spans="2:2" x14ac:dyDescent="0.25">
      <c r="B198" s="12"/>
    </row>
    <row r="199" spans="2:2" x14ac:dyDescent="0.25">
      <c r="B199" s="12"/>
    </row>
    <row r="200" spans="2:2" x14ac:dyDescent="0.25">
      <c r="B200" s="12"/>
    </row>
    <row r="201" spans="2:2" x14ac:dyDescent="0.25">
      <c r="B201" s="12"/>
    </row>
    <row r="202" spans="2:2" x14ac:dyDescent="0.25">
      <c r="B202" s="12"/>
    </row>
    <row r="203" spans="2:2" x14ac:dyDescent="0.25">
      <c r="B203" s="12"/>
    </row>
    <row r="204" spans="2:2" x14ac:dyDescent="0.25">
      <c r="B204" s="12"/>
    </row>
    <row r="205" spans="2:2" x14ac:dyDescent="0.25">
      <c r="B205" s="12"/>
    </row>
    <row r="206" spans="2:2" x14ac:dyDescent="0.25">
      <c r="B206" s="12"/>
    </row>
    <row r="207" spans="2:2" x14ac:dyDescent="0.25">
      <c r="B207" s="12"/>
    </row>
    <row r="208" spans="2:2" x14ac:dyDescent="0.25">
      <c r="B208" s="12"/>
    </row>
    <row r="209" spans="2:2" x14ac:dyDescent="0.25">
      <c r="B209" s="12"/>
    </row>
    <row r="210" spans="2:2" x14ac:dyDescent="0.25">
      <c r="B210" s="12"/>
    </row>
    <row r="211" spans="2:2" x14ac:dyDescent="0.25">
      <c r="B211" s="12"/>
    </row>
    <row r="212" spans="2:2" x14ac:dyDescent="0.25">
      <c r="B212" s="12"/>
    </row>
    <row r="213" spans="2:2" x14ac:dyDescent="0.25">
      <c r="B213" s="12"/>
    </row>
    <row r="214" spans="2:2" x14ac:dyDescent="0.25">
      <c r="B214" s="12"/>
    </row>
    <row r="215" spans="2:2" x14ac:dyDescent="0.25">
      <c r="B215" s="12"/>
    </row>
    <row r="216" spans="2:2" x14ac:dyDescent="0.25">
      <c r="B216" s="12"/>
    </row>
    <row r="217" spans="2:2" x14ac:dyDescent="0.25">
      <c r="B217" s="12"/>
    </row>
    <row r="218" spans="2:2" x14ac:dyDescent="0.25">
      <c r="B218" s="12"/>
    </row>
    <row r="219" spans="2:2" x14ac:dyDescent="0.25">
      <c r="B219" s="12"/>
    </row>
    <row r="220" spans="2:2" x14ac:dyDescent="0.25">
      <c r="B220" s="12"/>
    </row>
    <row r="221" spans="2:2" x14ac:dyDescent="0.25">
      <c r="B221" s="12"/>
    </row>
    <row r="222" spans="2:2" x14ac:dyDescent="0.25">
      <c r="B222" s="12"/>
    </row>
    <row r="223" spans="2:2" x14ac:dyDescent="0.25">
      <c r="B223" s="12"/>
    </row>
    <row r="224" spans="2:2" x14ac:dyDescent="0.25">
      <c r="B224" s="12"/>
    </row>
    <row r="225" spans="2:2" x14ac:dyDescent="0.25">
      <c r="B225" s="12"/>
    </row>
    <row r="226" spans="2:2" x14ac:dyDescent="0.25">
      <c r="B226" s="12"/>
    </row>
    <row r="227" spans="2:2" x14ac:dyDescent="0.25">
      <c r="B227" s="12"/>
    </row>
  </sheetData>
  <sortState xmlns:xlrd2="http://schemas.microsoft.com/office/spreadsheetml/2017/richdata2" ref="A2:G227">
    <sortCondition ref="F2:F2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4"/>
  <sheetViews>
    <sheetView workbookViewId="0">
      <selection activeCell="A2" sqref="A2"/>
    </sheetView>
  </sheetViews>
  <sheetFormatPr defaultRowHeight="15" x14ac:dyDescent="0.25"/>
  <cols>
    <col min="1" max="1" width="19.85546875" customWidth="1"/>
    <col min="2" max="2" width="35.7109375" customWidth="1"/>
    <col min="3" max="3" width="14.5703125" customWidth="1"/>
    <col min="4" max="4" width="10.42578125" customWidth="1"/>
    <col min="5" max="7" width="10.140625" customWidth="1"/>
    <col min="8" max="8" width="11.5703125" customWidth="1"/>
    <col min="9" max="23" width="10.140625" customWidth="1"/>
  </cols>
  <sheetData>
    <row r="1" spans="1:23" x14ac:dyDescent="0.25">
      <c r="A1" s="1" t="s">
        <v>14</v>
      </c>
      <c r="B1" s="1" t="s">
        <v>61</v>
      </c>
      <c r="C1" s="1" t="s">
        <v>62</v>
      </c>
      <c r="D1" s="7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7">
        <v>12</v>
      </c>
      <c r="P1" s="7">
        <v>13</v>
      </c>
      <c r="Q1" s="7">
        <v>14</v>
      </c>
      <c r="R1" s="7">
        <v>15</v>
      </c>
      <c r="S1" s="7">
        <v>16</v>
      </c>
      <c r="T1" s="7">
        <v>17</v>
      </c>
      <c r="U1" s="7">
        <v>18</v>
      </c>
      <c r="V1" s="7">
        <v>19</v>
      </c>
      <c r="W1" s="7">
        <v>20</v>
      </c>
    </row>
    <row r="2" spans="1:23" ht="26.25" x14ac:dyDescent="0.25">
      <c r="A2" s="2">
        <v>20001</v>
      </c>
      <c r="B2" s="1" t="s">
        <v>63</v>
      </c>
      <c r="C2" s="1">
        <v>4</v>
      </c>
      <c r="D2" t="s">
        <v>64</v>
      </c>
      <c r="E2" t="s">
        <v>65</v>
      </c>
      <c r="F2" t="s">
        <v>66</v>
      </c>
      <c r="G2" t="s">
        <v>67</v>
      </c>
    </row>
    <row r="3" spans="1:23" ht="39" x14ac:dyDescent="0.25">
      <c r="A3" s="2">
        <v>20002</v>
      </c>
      <c r="B3" s="1" t="s">
        <v>68</v>
      </c>
      <c r="C3" s="2">
        <v>12</v>
      </c>
      <c r="D3" t="s">
        <v>64</v>
      </c>
      <c r="E3" t="s">
        <v>65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</row>
    <row r="4" spans="1:23" ht="39" x14ac:dyDescent="0.25">
      <c r="A4" s="2">
        <v>20003</v>
      </c>
      <c r="B4" s="1" t="s">
        <v>79</v>
      </c>
      <c r="C4" s="2">
        <v>14</v>
      </c>
      <c r="D4" t="s">
        <v>64</v>
      </c>
      <c r="E4" t="s">
        <v>65</v>
      </c>
      <c r="F4" t="s">
        <v>80</v>
      </c>
      <c r="G4" t="s">
        <v>81</v>
      </c>
      <c r="H4" t="s">
        <v>82</v>
      </c>
      <c r="I4" t="s">
        <v>83</v>
      </c>
      <c r="J4" t="s">
        <v>66</v>
      </c>
      <c r="K4" t="s">
        <v>84</v>
      </c>
      <c r="L4" t="s">
        <v>85</v>
      </c>
      <c r="M4" t="s">
        <v>74</v>
      </c>
      <c r="N4" t="s">
        <v>86</v>
      </c>
      <c r="O4" t="s">
        <v>87</v>
      </c>
      <c r="P4" t="s">
        <v>88</v>
      </c>
      <c r="Q4" t="s">
        <v>89</v>
      </c>
    </row>
    <row r="5" spans="1:23" ht="26.25" x14ac:dyDescent="0.25">
      <c r="A5" s="2">
        <v>20004</v>
      </c>
      <c r="B5" s="1" t="s">
        <v>90</v>
      </c>
      <c r="C5" s="2">
        <v>8</v>
      </c>
      <c r="D5" t="s">
        <v>64</v>
      </c>
      <c r="E5" t="s">
        <v>65</v>
      </c>
      <c r="F5" t="s">
        <v>67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</row>
    <row r="6" spans="1:23" ht="26.25" x14ac:dyDescent="0.25">
      <c r="A6" s="2">
        <v>20005</v>
      </c>
      <c r="B6" s="1" t="s">
        <v>96</v>
      </c>
      <c r="C6" s="2">
        <v>7</v>
      </c>
      <c r="D6" t="s">
        <v>89</v>
      </c>
      <c r="E6" t="s">
        <v>97</v>
      </c>
      <c r="F6" t="s">
        <v>98</v>
      </c>
      <c r="G6" t="s">
        <v>99</v>
      </c>
      <c r="H6" t="s">
        <v>84</v>
      </c>
      <c r="I6" t="s">
        <v>91</v>
      </c>
      <c r="J6" t="s">
        <v>100</v>
      </c>
    </row>
    <row r="7" spans="1:23" ht="39" x14ac:dyDescent="0.25">
      <c r="A7" s="2">
        <v>20006</v>
      </c>
      <c r="B7" s="1" t="s">
        <v>101</v>
      </c>
      <c r="C7" s="2">
        <v>14</v>
      </c>
      <c r="D7" t="s">
        <v>71</v>
      </c>
      <c r="E7" t="s">
        <v>65</v>
      </c>
      <c r="F7" t="s">
        <v>64</v>
      </c>
      <c r="G7" t="s">
        <v>100</v>
      </c>
      <c r="H7" t="s">
        <v>102</v>
      </c>
      <c r="I7" t="s">
        <v>103</v>
      </c>
      <c r="J7" t="s">
        <v>83</v>
      </c>
      <c r="K7" t="s">
        <v>85</v>
      </c>
      <c r="L7" t="s">
        <v>104</v>
      </c>
      <c r="M7" t="s">
        <v>87</v>
      </c>
      <c r="N7" t="s">
        <v>67</v>
      </c>
      <c r="O7" t="s">
        <v>91</v>
      </c>
      <c r="P7" t="s">
        <v>72</v>
      </c>
      <c r="Q7" t="s">
        <v>105</v>
      </c>
    </row>
    <row r="8" spans="1:23" ht="26.25" x14ac:dyDescent="0.25">
      <c r="A8" s="2">
        <v>20007</v>
      </c>
      <c r="B8" s="1" t="s">
        <v>106</v>
      </c>
      <c r="C8" s="1">
        <v>10</v>
      </c>
      <c r="D8" s="2" t="s">
        <v>91</v>
      </c>
      <c r="E8" t="s">
        <v>84</v>
      </c>
      <c r="F8" t="s">
        <v>88</v>
      </c>
      <c r="G8" t="s">
        <v>64</v>
      </c>
      <c r="H8" t="s">
        <v>65</v>
      </c>
      <c r="I8" t="s">
        <v>80</v>
      </c>
      <c r="J8" t="s">
        <v>107</v>
      </c>
      <c r="K8" t="s">
        <v>85</v>
      </c>
      <c r="L8" t="s">
        <v>74</v>
      </c>
      <c r="M8" t="s">
        <v>108</v>
      </c>
    </row>
    <row r="9" spans="1:23" ht="26.25" x14ac:dyDescent="0.25">
      <c r="A9" s="2">
        <v>20008</v>
      </c>
      <c r="B9" s="1" t="s">
        <v>109</v>
      </c>
      <c r="C9" s="2">
        <v>6</v>
      </c>
      <c r="D9" t="s">
        <v>110</v>
      </c>
      <c r="E9" t="s">
        <v>111</v>
      </c>
      <c r="F9" t="s">
        <v>94</v>
      </c>
      <c r="G9" t="s">
        <v>93</v>
      </c>
      <c r="H9" t="s">
        <v>85</v>
      </c>
      <c r="I9" t="s">
        <v>95</v>
      </c>
    </row>
    <row r="10" spans="1:23" ht="39" x14ac:dyDescent="0.25">
      <c r="A10" s="2">
        <v>20009</v>
      </c>
      <c r="B10" s="1" t="s">
        <v>112</v>
      </c>
      <c r="C10" s="2">
        <v>12</v>
      </c>
      <c r="D10" t="s">
        <v>113</v>
      </c>
      <c r="E10" t="s">
        <v>80</v>
      </c>
      <c r="F10" t="s">
        <v>114</v>
      </c>
      <c r="G10" t="s">
        <v>115</v>
      </c>
      <c r="H10" t="s">
        <v>66</v>
      </c>
      <c r="I10" t="s">
        <v>91</v>
      </c>
      <c r="J10" t="s">
        <v>67</v>
      </c>
      <c r="K10" t="s">
        <v>116</v>
      </c>
      <c r="L10" t="s">
        <v>117</v>
      </c>
      <c r="M10" t="s">
        <v>92</v>
      </c>
      <c r="N10" t="s">
        <v>64</v>
      </c>
      <c r="O10" t="s">
        <v>118</v>
      </c>
    </row>
    <row r="11" spans="1:23" ht="39" x14ac:dyDescent="0.25">
      <c r="A11" s="2">
        <v>20010</v>
      </c>
      <c r="B11" s="1" t="s">
        <v>119</v>
      </c>
      <c r="C11" s="2">
        <v>10</v>
      </c>
      <c r="D11" t="s">
        <v>66</v>
      </c>
      <c r="E11" t="s">
        <v>88</v>
      </c>
      <c r="F11" t="s">
        <v>120</v>
      </c>
      <c r="G11" t="s">
        <v>89</v>
      </c>
      <c r="H11" t="s">
        <v>103</v>
      </c>
      <c r="I11" t="s">
        <v>64</v>
      </c>
      <c r="J11" t="s">
        <v>65</v>
      </c>
      <c r="K11" t="s">
        <v>121</v>
      </c>
      <c r="L11" t="s">
        <v>122</v>
      </c>
      <c r="M11" t="s">
        <v>123</v>
      </c>
    </row>
    <row r="12" spans="1:23" x14ac:dyDescent="0.25">
      <c r="A12" s="2">
        <v>20011</v>
      </c>
      <c r="B12" s="1" t="s">
        <v>124</v>
      </c>
      <c r="C12" s="2">
        <v>4</v>
      </c>
      <c r="D12" t="s">
        <v>65</v>
      </c>
      <c r="E12" t="s">
        <v>64</v>
      </c>
      <c r="F12" t="s">
        <v>67</v>
      </c>
      <c r="G12" t="s">
        <v>120</v>
      </c>
    </row>
    <row r="13" spans="1:23" ht="60" x14ac:dyDescent="0.25">
      <c r="A13" s="2">
        <v>20012</v>
      </c>
      <c r="B13" s="3" t="s">
        <v>125</v>
      </c>
      <c r="C13" s="4">
        <v>15</v>
      </c>
      <c r="D13" t="s">
        <v>65</v>
      </c>
      <c r="E13" t="s">
        <v>64</v>
      </c>
      <c r="F13" t="s">
        <v>71</v>
      </c>
      <c r="G13" t="s">
        <v>126</v>
      </c>
      <c r="H13" t="s">
        <v>67</v>
      </c>
      <c r="I13" t="s">
        <v>127</v>
      </c>
      <c r="J13" t="s">
        <v>128</v>
      </c>
      <c r="K13" t="s">
        <v>120</v>
      </c>
      <c r="L13" t="s">
        <v>88</v>
      </c>
      <c r="M13" t="s">
        <v>129</v>
      </c>
      <c r="N13" t="s">
        <v>99</v>
      </c>
      <c r="O13" t="s">
        <v>130</v>
      </c>
      <c r="P13" t="s">
        <v>84</v>
      </c>
      <c r="Q13" t="s">
        <v>131</v>
      </c>
      <c r="R13" t="s">
        <v>100</v>
      </c>
    </row>
    <row r="14" spans="1:23" ht="39" x14ac:dyDescent="0.25">
      <c r="A14" s="2">
        <v>20013</v>
      </c>
      <c r="B14" s="1" t="s">
        <v>132</v>
      </c>
      <c r="C14" s="2">
        <v>12</v>
      </c>
      <c r="D14" t="s">
        <v>64</v>
      </c>
      <c r="E14" t="s">
        <v>65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95</v>
      </c>
      <c r="L14" t="s">
        <v>138</v>
      </c>
      <c r="M14" t="s">
        <v>139</v>
      </c>
      <c r="N14" t="s">
        <v>140</v>
      </c>
      <c r="O14" t="s">
        <v>123</v>
      </c>
    </row>
    <row r="15" spans="1:23" ht="51.75" x14ac:dyDescent="0.25">
      <c r="A15" s="2">
        <v>20014</v>
      </c>
      <c r="B15" s="1" t="s">
        <v>141</v>
      </c>
      <c r="C15" s="1">
        <v>11</v>
      </c>
      <c r="D15" t="s">
        <v>64</v>
      </c>
      <c r="E15" t="s">
        <v>65</v>
      </c>
      <c r="F15" t="s">
        <v>142</v>
      </c>
      <c r="G15" t="s">
        <v>143</v>
      </c>
      <c r="H15" t="s">
        <v>144</v>
      </c>
      <c r="I15" t="s">
        <v>123</v>
      </c>
      <c r="J15" t="s">
        <v>100</v>
      </c>
      <c r="K15" t="s">
        <v>92</v>
      </c>
      <c r="L15" t="s">
        <v>135</v>
      </c>
      <c r="M15" t="s">
        <v>145</v>
      </c>
      <c r="N15" t="s">
        <v>72</v>
      </c>
    </row>
    <row r="16" spans="1:23" ht="39" x14ac:dyDescent="0.25">
      <c r="A16" s="2">
        <v>20015</v>
      </c>
      <c r="B16" s="1" t="s">
        <v>146</v>
      </c>
      <c r="C16" s="2">
        <v>15</v>
      </c>
      <c r="D16" t="s">
        <v>89</v>
      </c>
      <c r="E16" t="s">
        <v>67</v>
      </c>
      <c r="F16" t="s">
        <v>147</v>
      </c>
      <c r="G16" t="s">
        <v>116</v>
      </c>
      <c r="H16" t="s">
        <v>74</v>
      </c>
      <c r="I16" t="s">
        <v>88</v>
      </c>
      <c r="J16" t="s">
        <v>94</v>
      </c>
      <c r="K16" t="s">
        <v>71</v>
      </c>
      <c r="L16" t="s">
        <v>72</v>
      </c>
      <c r="M16" t="s">
        <v>92</v>
      </c>
      <c r="N16" t="s">
        <v>148</v>
      </c>
      <c r="O16" t="s">
        <v>149</v>
      </c>
      <c r="P16" t="s">
        <v>150</v>
      </c>
      <c r="Q16" t="s">
        <v>151</v>
      </c>
      <c r="R16" t="s">
        <v>91</v>
      </c>
    </row>
    <row r="17" spans="1:23" ht="39" x14ac:dyDescent="0.25">
      <c r="A17" s="2">
        <v>20016</v>
      </c>
      <c r="B17" s="1" t="s">
        <v>152</v>
      </c>
      <c r="C17" s="1">
        <v>17</v>
      </c>
      <c r="D17" t="s">
        <v>91</v>
      </c>
      <c r="E17" t="s">
        <v>67</v>
      </c>
      <c r="F17" t="s">
        <v>82</v>
      </c>
      <c r="G17" t="s">
        <v>153</v>
      </c>
      <c r="H17" t="s">
        <v>150</v>
      </c>
      <c r="I17" t="s">
        <v>149</v>
      </c>
      <c r="J17" t="s">
        <v>154</v>
      </c>
      <c r="K17" t="s">
        <v>155</v>
      </c>
      <c r="L17" t="s">
        <v>83</v>
      </c>
      <c r="M17" t="s">
        <v>156</v>
      </c>
      <c r="N17" t="s">
        <v>157</v>
      </c>
      <c r="O17" t="s">
        <v>158</v>
      </c>
      <c r="P17" t="s">
        <v>126</v>
      </c>
      <c r="Q17" t="s">
        <v>100</v>
      </c>
      <c r="R17" t="s">
        <v>92</v>
      </c>
      <c r="S17" t="s">
        <v>71</v>
      </c>
      <c r="T17" t="s">
        <v>159</v>
      </c>
    </row>
    <row r="18" spans="1:23" ht="26.25" x14ac:dyDescent="0.25">
      <c r="A18" s="2">
        <v>20017</v>
      </c>
      <c r="B18" s="1" t="s">
        <v>160</v>
      </c>
      <c r="C18" s="1">
        <v>9</v>
      </c>
      <c r="D18" t="s">
        <v>65</v>
      </c>
      <c r="E18" t="s">
        <v>80</v>
      </c>
      <c r="F18" t="s">
        <v>84</v>
      </c>
      <c r="G18" t="s">
        <v>67</v>
      </c>
      <c r="H18" t="s">
        <v>91</v>
      </c>
      <c r="I18" t="s">
        <v>127</v>
      </c>
      <c r="J18" t="s">
        <v>88</v>
      </c>
      <c r="K18" t="s">
        <v>66</v>
      </c>
      <c r="L18" t="s">
        <v>161</v>
      </c>
    </row>
    <row r="19" spans="1:23" ht="51.75" x14ac:dyDescent="0.25">
      <c r="A19" s="2">
        <v>20018</v>
      </c>
      <c r="B19" s="1" t="s">
        <v>162</v>
      </c>
      <c r="C19" s="1">
        <v>20</v>
      </c>
      <c r="D19" t="s">
        <v>65</v>
      </c>
      <c r="E19" t="s">
        <v>64</v>
      </c>
      <c r="F19" t="s">
        <v>66</v>
      </c>
      <c r="G19" t="s">
        <v>67</v>
      </c>
      <c r="H19" t="s">
        <v>163</v>
      </c>
      <c r="I19" t="s">
        <v>164</v>
      </c>
      <c r="J19" t="s">
        <v>126</v>
      </c>
      <c r="K19" t="s">
        <v>165</v>
      </c>
      <c r="L19" t="s">
        <v>84</v>
      </c>
      <c r="M19" t="s">
        <v>166</v>
      </c>
      <c r="N19" t="s">
        <v>167</v>
      </c>
      <c r="O19" t="s">
        <v>168</v>
      </c>
      <c r="P19" t="s">
        <v>116</v>
      </c>
      <c r="Q19" t="s">
        <v>91</v>
      </c>
      <c r="R19" t="s">
        <v>169</v>
      </c>
      <c r="S19" t="s">
        <v>82</v>
      </c>
      <c r="T19" t="s">
        <v>121</v>
      </c>
      <c r="U19" t="s">
        <v>110</v>
      </c>
      <c r="V19" t="s">
        <v>98</v>
      </c>
      <c r="W19" t="s">
        <v>88</v>
      </c>
    </row>
    <row r="20" spans="1:23" ht="26.25" x14ac:dyDescent="0.25">
      <c r="A20" s="2">
        <v>20019</v>
      </c>
      <c r="B20" s="1" t="s">
        <v>170</v>
      </c>
      <c r="C20" s="1">
        <v>8</v>
      </c>
      <c r="D20" t="s">
        <v>171</v>
      </c>
      <c r="E20" t="s">
        <v>87</v>
      </c>
      <c r="F20" t="s">
        <v>92</v>
      </c>
      <c r="G20" t="s">
        <v>71</v>
      </c>
      <c r="H20" t="s">
        <v>72</v>
      </c>
      <c r="I20" t="s">
        <v>65</v>
      </c>
      <c r="J20" t="s">
        <v>172</v>
      </c>
      <c r="K20" t="s">
        <v>83</v>
      </c>
    </row>
    <row r="21" spans="1:23" ht="26.25" x14ac:dyDescent="0.25">
      <c r="A21" s="2">
        <v>20020</v>
      </c>
      <c r="B21" s="1" t="s">
        <v>173</v>
      </c>
      <c r="C21" s="1">
        <v>7</v>
      </c>
      <c r="D21" t="s">
        <v>172</v>
      </c>
      <c r="E21" t="s">
        <v>81</v>
      </c>
      <c r="F21" t="s">
        <v>64</v>
      </c>
      <c r="G21" t="s">
        <v>65</v>
      </c>
      <c r="H21" t="s">
        <v>116</v>
      </c>
      <c r="I21" t="s">
        <v>67</v>
      </c>
      <c r="J21" t="s">
        <v>91</v>
      </c>
    </row>
    <row r="22" spans="1:23" x14ac:dyDescent="0.25">
      <c r="A22" s="2">
        <v>20021</v>
      </c>
      <c r="B22" s="1" t="s">
        <v>174</v>
      </c>
      <c r="C22" s="1">
        <v>0</v>
      </c>
    </row>
    <row r="23" spans="1:23" x14ac:dyDescent="0.25">
      <c r="A23" s="2">
        <v>20022</v>
      </c>
      <c r="B23" s="1" t="s">
        <v>175</v>
      </c>
      <c r="C23" s="1">
        <v>4</v>
      </c>
      <c r="D23" t="s">
        <v>65</v>
      </c>
      <c r="E23" t="s">
        <v>121</v>
      </c>
      <c r="F23" t="s">
        <v>135</v>
      </c>
      <c r="G23" t="s">
        <v>134</v>
      </c>
    </row>
    <row r="24" spans="1:23" ht="26.25" x14ac:dyDescent="0.25">
      <c r="A24" s="2">
        <v>20023</v>
      </c>
      <c r="B24" s="1" t="s">
        <v>176</v>
      </c>
      <c r="C24" s="1">
        <v>10</v>
      </c>
      <c r="D24" t="s">
        <v>177</v>
      </c>
      <c r="E24" t="s">
        <v>67</v>
      </c>
      <c r="F24" t="s">
        <v>84</v>
      </c>
      <c r="G24" t="s">
        <v>82</v>
      </c>
      <c r="H24" t="s">
        <v>66</v>
      </c>
      <c r="I24" t="s">
        <v>116</v>
      </c>
      <c r="J24" t="s">
        <v>95</v>
      </c>
      <c r="K24" t="s">
        <v>138</v>
      </c>
      <c r="L24" t="s">
        <v>126</v>
      </c>
      <c r="M24" t="s">
        <v>93</v>
      </c>
    </row>
    <row r="25" spans="1:23" ht="39" x14ac:dyDescent="0.25">
      <c r="A25" s="2">
        <v>20024</v>
      </c>
      <c r="B25" s="1" t="s">
        <v>178</v>
      </c>
      <c r="C25" s="1">
        <v>14</v>
      </c>
      <c r="D25" t="s">
        <v>64</v>
      </c>
      <c r="E25" t="s">
        <v>65</v>
      </c>
      <c r="F25" t="s">
        <v>179</v>
      </c>
      <c r="G25" t="s">
        <v>149</v>
      </c>
      <c r="H25" t="s">
        <v>89</v>
      </c>
      <c r="I25" t="s">
        <v>66</v>
      </c>
      <c r="J25" t="s">
        <v>86</v>
      </c>
      <c r="K25" t="s">
        <v>84</v>
      </c>
      <c r="L25" t="s">
        <v>88</v>
      </c>
      <c r="M25" t="s">
        <v>180</v>
      </c>
      <c r="N25" t="s">
        <v>181</v>
      </c>
      <c r="O25" t="s">
        <v>92</v>
      </c>
      <c r="P25" t="s">
        <v>71</v>
      </c>
      <c r="Q25" t="s">
        <v>182</v>
      </c>
    </row>
    <row r="26" spans="1:23" ht="39" x14ac:dyDescent="0.25">
      <c r="A26" s="2">
        <v>20025</v>
      </c>
      <c r="B26" s="1" t="s">
        <v>183</v>
      </c>
      <c r="C26" s="1">
        <v>15</v>
      </c>
      <c r="D26" t="s">
        <v>92</v>
      </c>
      <c r="E26" t="s">
        <v>64</v>
      </c>
      <c r="F26" t="s">
        <v>65</v>
      </c>
      <c r="G26" t="s">
        <v>67</v>
      </c>
      <c r="H26" t="s">
        <v>116</v>
      </c>
      <c r="I26" t="s">
        <v>66</v>
      </c>
      <c r="J26" t="s">
        <v>184</v>
      </c>
      <c r="K26" t="s">
        <v>150</v>
      </c>
      <c r="L26" t="s">
        <v>126</v>
      </c>
      <c r="M26" t="s">
        <v>72</v>
      </c>
      <c r="N26" t="s">
        <v>147</v>
      </c>
      <c r="O26" t="s">
        <v>120</v>
      </c>
      <c r="P26" t="s">
        <v>185</v>
      </c>
      <c r="Q26" t="s">
        <v>186</v>
      </c>
      <c r="R26" t="s">
        <v>187</v>
      </c>
    </row>
    <row r="27" spans="1:23" x14ac:dyDescent="0.25">
      <c r="A27" s="2">
        <v>20026</v>
      </c>
      <c r="B27" s="1" t="s">
        <v>188</v>
      </c>
      <c r="C27" s="1">
        <v>5</v>
      </c>
      <c r="D27" t="s">
        <v>84</v>
      </c>
      <c r="E27" t="s">
        <v>67</v>
      </c>
      <c r="F27" t="s">
        <v>91</v>
      </c>
      <c r="G27" t="s">
        <v>65</v>
      </c>
      <c r="H27" t="s">
        <v>189</v>
      </c>
    </row>
    <row r="28" spans="1:23" ht="26.25" x14ac:dyDescent="0.25">
      <c r="A28" s="2">
        <v>20027</v>
      </c>
      <c r="B28" s="1" t="s">
        <v>190</v>
      </c>
      <c r="C28" s="1">
        <v>8</v>
      </c>
      <c r="D28" t="s">
        <v>64</v>
      </c>
      <c r="E28" t="s">
        <v>65</v>
      </c>
      <c r="F28" t="s">
        <v>72</v>
      </c>
      <c r="G28" t="s">
        <v>71</v>
      </c>
      <c r="H28" t="s">
        <v>74</v>
      </c>
      <c r="I28" t="s">
        <v>92</v>
      </c>
      <c r="J28" t="s">
        <v>81</v>
      </c>
      <c r="K28" t="s">
        <v>93</v>
      </c>
    </row>
    <row r="29" spans="1:23" ht="26.25" x14ac:dyDescent="0.25">
      <c r="A29" s="2">
        <v>20028</v>
      </c>
      <c r="B29" s="1" t="s">
        <v>191</v>
      </c>
      <c r="C29" s="1">
        <v>7</v>
      </c>
      <c r="D29" t="s">
        <v>65</v>
      </c>
      <c r="E29" t="s">
        <v>121</v>
      </c>
      <c r="F29" t="s">
        <v>134</v>
      </c>
      <c r="G29" t="s">
        <v>192</v>
      </c>
      <c r="H29" t="s">
        <v>193</v>
      </c>
      <c r="I29" t="s">
        <v>194</v>
      </c>
      <c r="J29" t="s">
        <v>84</v>
      </c>
    </row>
    <row r="30" spans="1:23" ht="26.25" x14ac:dyDescent="0.25">
      <c r="A30" s="2">
        <v>20029</v>
      </c>
      <c r="B30" s="1" t="s">
        <v>195</v>
      </c>
      <c r="C30" s="1">
        <v>9</v>
      </c>
      <c r="D30" t="s">
        <v>71</v>
      </c>
      <c r="E30" t="s">
        <v>92</v>
      </c>
      <c r="F30" t="s">
        <v>65</v>
      </c>
      <c r="G30" t="s">
        <v>88</v>
      </c>
      <c r="H30" t="s">
        <v>196</v>
      </c>
      <c r="I30" t="s">
        <v>91</v>
      </c>
      <c r="J30" t="s">
        <v>67</v>
      </c>
      <c r="K30" t="s">
        <v>64</v>
      </c>
      <c r="L30" t="s">
        <v>110</v>
      </c>
    </row>
    <row r="31" spans="1:23" ht="39" x14ac:dyDescent="0.25">
      <c r="A31" s="2">
        <v>20030</v>
      </c>
      <c r="B31" s="1" t="s">
        <v>197</v>
      </c>
      <c r="C31" s="1">
        <v>10</v>
      </c>
      <c r="D31" t="s">
        <v>65</v>
      </c>
      <c r="E31" t="s">
        <v>121</v>
      </c>
      <c r="F31" t="s">
        <v>66</v>
      </c>
      <c r="G31" t="s">
        <v>116</v>
      </c>
      <c r="H31" t="s">
        <v>98</v>
      </c>
      <c r="I31" t="s">
        <v>86</v>
      </c>
      <c r="J31" t="s">
        <v>93</v>
      </c>
      <c r="K31" t="s">
        <v>88</v>
      </c>
      <c r="L31" t="s">
        <v>123</v>
      </c>
      <c r="M31" t="s">
        <v>94</v>
      </c>
    </row>
    <row r="32" spans="1:23" ht="39" x14ac:dyDescent="0.25">
      <c r="A32" s="2">
        <v>20031</v>
      </c>
      <c r="B32" s="1" t="s">
        <v>198</v>
      </c>
      <c r="C32" s="1">
        <v>16</v>
      </c>
      <c r="D32" t="s">
        <v>65</v>
      </c>
      <c r="E32" t="s">
        <v>64</v>
      </c>
      <c r="F32" t="s">
        <v>71</v>
      </c>
      <c r="G32" t="s">
        <v>92</v>
      </c>
      <c r="H32" t="s">
        <v>151</v>
      </c>
      <c r="I32" t="s">
        <v>179</v>
      </c>
      <c r="J32" t="s">
        <v>181</v>
      </c>
      <c r="K32" t="s">
        <v>67</v>
      </c>
      <c r="L32" t="s">
        <v>89</v>
      </c>
      <c r="M32" t="s">
        <v>91</v>
      </c>
      <c r="N32" t="s">
        <v>169</v>
      </c>
      <c r="O32" t="s">
        <v>199</v>
      </c>
      <c r="P32" t="s">
        <v>149</v>
      </c>
      <c r="Q32" t="s">
        <v>150</v>
      </c>
      <c r="R32" t="s">
        <v>66</v>
      </c>
      <c r="S32" t="s">
        <v>95</v>
      </c>
    </row>
    <row r="33" spans="1:19" ht="39" x14ac:dyDescent="0.25">
      <c r="A33" s="2">
        <v>20032</v>
      </c>
      <c r="B33" s="1" t="s">
        <v>200</v>
      </c>
      <c r="C33" s="1">
        <v>13</v>
      </c>
      <c r="D33" t="s">
        <v>64</v>
      </c>
      <c r="E33" t="s">
        <v>65</v>
      </c>
      <c r="F33" t="s">
        <v>156</v>
      </c>
      <c r="G33" t="s">
        <v>67</v>
      </c>
      <c r="H33" t="s">
        <v>91</v>
      </c>
      <c r="I33" t="s">
        <v>121</v>
      </c>
      <c r="J33" t="s">
        <v>88</v>
      </c>
      <c r="K33" t="s">
        <v>201</v>
      </c>
      <c r="L33" t="s">
        <v>202</v>
      </c>
      <c r="M33" t="s">
        <v>133</v>
      </c>
      <c r="N33" t="s">
        <v>92</v>
      </c>
      <c r="O33" t="s">
        <v>81</v>
      </c>
      <c r="P33" t="s">
        <v>203</v>
      </c>
    </row>
    <row r="34" spans="1:19" ht="39" x14ac:dyDescent="0.25">
      <c r="A34" s="2">
        <v>20033</v>
      </c>
      <c r="B34" s="1" t="s">
        <v>204</v>
      </c>
      <c r="C34" s="1">
        <v>13</v>
      </c>
      <c r="D34" t="s">
        <v>89</v>
      </c>
      <c r="E34" t="s">
        <v>67</v>
      </c>
      <c r="F34" t="s">
        <v>205</v>
      </c>
      <c r="G34" t="s">
        <v>66</v>
      </c>
      <c r="H34" t="s">
        <v>84</v>
      </c>
      <c r="I34" t="s">
        <v>91</v>
      </c>
      <c r="J34" t="s">
        <v>126</v>
      </c>
      <c r="K34" t="s">
        <v>116</v>
      </c>
      <c r="L34" t="s">
        <v>72</v>
      </c>
      <c r="M34" t="s">
        <v>71</v>
      </c>
      <c r="N34" t="s">
        <v>133</v>
      </c>
      <c r="O34" t="s">
        <v>64</v>
      </c>
      <c r="P34" t="s">
        <v>65</v>
      </c>
    </row>
    <row r="35" spans="1:19" ht="39" x14ac:dyDescent="0.25">
      <c r="A35" s="2">
        <v>20034</v>
      </c>
      <c r="B35" s="1" t="s">
        <v>206</v>
      </c>
      <c r="C35" s="1">
        <v>16</v>
      </c>
      <c r="D35" t="s">
        <v>65</v>
      </c>
      <c r="E35" t="s">
        <v>64</v>
      </c>
      <c r="F35" t="s">
        <v>207</v>
      </c>
      <c r="G35" t="s">
        <v>121</v>
      </c>
      <c r="H35" t="s">
        <v>91</v>
      </c>
      <c r="I35" t="s">
        <v>67</v>
      </c>
      <c r="J35" t="s">
        <v>89</v>
      </c>
      <c r="K35" t="s">
        <v>84</v>
      </c>
      <c r="L35" t="s">
        <v>85</v>
      </c>
      <c r="M35" t="s">
        <v>83</v>
      </c>
      <c r="N35" t="s">
        <v>74</v>
      </c>
      <c r="O35" t="s">
        <v>127</v>
      </c>
      <c r="P35" t="s">
        <v>88</v>
      </c>
      <c r="Q35" t="s">
        <v>120</v>
      </c>
      <c r="R35" t="s">
        <v>208</v>
      </c>
      <c r="S35" t="s">
        <v>209</v>
      </c>
    </row>
    <row r="36" spans="1:19" x14ac:dyDescent="0.25">
      <c r="A36" s="2">
        <v>20035</v>
      </c>
      <c r="B36" s="1" t="s">
        <v>210</v>
      </c>
      <c r="C36" s="1">
        <v>3</v>
      </c>
      <c r="D36" t="s">
        <v>71</v>
      </c>
      <c r="E36" t="s">
        <v>64</v>
      </c>
      <c r="F36" t="s">
        <v>67</v>
      </c>
    </row>
    <row r="37" spans="1:19" ht="39" x14ac:dyDescent="0.25">
      <c r="A37" s="2">
        <v>20036</v>
      </c>
      <c r="B37" s="1" t="s">
        <v>211</v>
      </c>
      <c r="C37" s="1">
        <v>7</v>
      </c>
      <c r="D37" t="s">
        <v>65</v>
      </c>
      <c r="E37" t="s">
        <v>156</v>
      </c>
      <c r="F37" t="s">
        <v>64</v>
      </c>
      <c r="G37" t="s">
        <v>150</v>
      </c>
      <c r="H37" t="s">
        <v>71</v>
      </c>
      <c r="I37" t="s">
        <v>74</v>
      </c>
      <c r="J37" t="s">
        <v>155</v>
      </c>
    </row>
    <row r="38" spans="1:19" x14ac:dyDescent="0.25">
      <c r="A38" s="2">
        <v>20037</v>
      </c>
      <c r="B38" s="1" t="s">
        <v>212</v>
      </c>
      <c r="C38" s="1">
        <v>3</v>
      </c>
      <c r="D38" t="s">
        <v>95</v>
      </c>
      <c r="E38" t="s">
        <v>89</v>
      </c>
      <c r="F38" t="s">
        <v>72</v>
      </c>
    </row>
    <row r="39" spans="1:19" ht="26.25" x14ac:dyDescent="0.25">
      <c r="A39" s="2">
        <v>20038</v>
      </c>
      <c r="B39" s="1" t="s">
        <v>213</v>
      </c>
      <c r="C39" s="1">
        <v>9</v>
      </c>
      <c r="D39" t="s">
        <v>65</v>
      </c>
      <c r="E39" t="s">
        <v>92</v>
      </c>
      <c r="F39" t="s">
        <v>71</v>
      </c>
      <c r="G39" t="s">
        <v>91</v>
      </c>
      <c r="H39" t="s">
        <v>214</v>
      </c>
      <c r="I39" t="s">
        <v>81</v>
      </c>
      <c r="J39" t="s">
        <v>207</v>
      </c>
      <c r="K39" t="s">
        <v>95</v>
      </c>
      <c r="L39" t="s">
        <v>215</v>
      </c>
    </row>
    <row r="40" spans="1:19" ht="39" x14ac:dyDescent="0.25">
      <c r="A40" s="2">
        <v>20039</v>
      </c>
      <c r="B40" s="1" t="s">
        <v>216</v>
      </c>
      <c r="C40" s="1">
        <v>12</v>
      </c>
      <c r="D40" t="s">
        <v>208</v>
      </c>
      <c r="E40" t="s">
        <v>64</v>
      </c>
      <c r="F40" t="s">
        <v>65</v>
      </c>
      <c r="G40" t="s">
        <v>126</v>
      </c>
      <c r="H40" t="s">
        <v>100</v>
      </c>
      <c r="I40" t="s">
        <v>148</v>
      </c>
      <c r="J40" t="s">
        <v>134</v>
      </c>
      <c r="K40" t="s">
        <v>217</v>
      </c>
      <c r="L40" t="s">
        <v>199</v>
      </c>
      <c r="M40" t="s">
        <v>205</v>
      </c>
      <c r="N40" t="s">
        <v>150</v>
      </c>
      <c r="O40" t="s">
        <v>103</v>
      </c>
    </row>
    <row r="41" spans="1:19" ht="26.25" x14ac:dyDescent="0.25">
      <c r="A41" s="2">
        <v>20040</v>
      </c>
      <c r="B41" s="1" t="s">
        <v>218</v>
      </c>
      <c r="C41" s="1">
        <v>8</v>
      </c>
      <c r="D41" t="s">
        <v>64</v>
      </c>
      <c r="E41" t="s">
        <v>65</v>
      </c>
      <c r="F41" t="s">
        <v>194</v>
      </c>
      <c r="G41" t="s">
        <v>219</v>
      </c>
      <c r="H41" t="s">
        <v>185</v>
      </c>
      <c r="I41" t="s">
        <v>66</v>
      </c>
      <c r="J41" t="s">
        <v>71</v>
      </c>
      <c r="K41" t="s">
        <v>201</v>
      </c>
    </row>
    <row r="42" spans="1:19" ht="39" x14ac:dyDescent="0.25">
      <c r="A42" s="2">
        <v>20041</v>
      </c>
      <c r="B42" s="1" t="s">
        <v>220</v>
      </c>
      <c r="C42" s="1">
        <v>10</v>
      </c>
      <c r="D42" t="s">
        <v>65</v>
      </c>
      <c r="E42" t="s">
        <v>64</v>
      </c>
      <c r="F42" t="s">
        <v>221</v>
      </c>
      <c r="G42" t="s">
        <v>80</v>
      </c>
      <c r="H42" t="s">
        <v>91</v>
      </c>
      <c r="I42" t="s">
        <v>66</v>
      </c>
      <c r="J42" t="s">
        <v>88</v>
      </c>
      <c r="K42" t="s">
        <v>130</v>
      </c>
      <c r="L42" t="s">
        <v>94</v>
      </c>
      <c r="M42" t="s">
        <v>84</v>
      </c>
    </row>
    <row r="43" spans="1:19" x14ac:dyDescent="0.25">
      <c r="A43" s="2">
        <v>20042</v>
      </c>
      <c r="B43" s="1" t="s">
        <v>222</v>
      </c>
      <c r="C43" s="2">
        <v>3</v>
      </c>
      <c r="D43" t="s">
        <v>223</v>
      </c>
      <c r="E43" t="s">
        <v>147</v>
      </c>
      <c r="F43" t="s">
        <v>224</v>
      </c>
    </row>
    <row r="44" spans="1:19" ht="26.25" x14ac:dyDescent="0.25">
      <c r="A44" s="2">
        <v>20043</v>
      </c>
      <c r="B44" s="1" t="s">
        <v>225</v>
      </c>
      <c r="C44" s="2">
        <v>4</v>
      </c>
      <c r="D44" t="s">
        <v>64</v>
      </c>
      <c r="E44" t="s">
        <v>65</v>
      </c>
      <c r="F44" t="s">
        <v>67</v>
      </c>
      <c r="G44" t="s">
        <v>117</v>
      </c>
    </row>
    <row r="45" spans="1:19" x14ac:dyDescent="0.25">
      <c r="A45" s="2">
        <v>20044</v>
      </c>
      <c r="B45" s="1" t="s">
        <v>226</v>
      </c>
      <c r="C45" s="1">
        <v>5</v>
      </c>
      <c r="D45" t="s">
        <v>65</v>
      </c>
      <c r="E45" t="s">
        <v>227</v>
      </c>
      <c r="F45" t="s">
        <v>72</v>
      </c>
      <c r="G45" t="s">
        <v>73</v>
      </c>
      <c r="H45" t="s">
        <v>127</v>
      </c>
    </row>
    <row r="46" spans="1:19" x14ac:dyDescent="0.25">
      <c r="A46" s="2">
        <v>20045</v>
      </c>
      <c r="B46" s="1" t="s">
        <v>228</v>
      </c>
      <c r="C46" s="2">
        <v>0</v>
      </c>
    </row>
    <row r="47" spans="1:19" ht="26.25" x14ac:dyDescent="0.25">
      <c r="A47" s="2">
        <v>20046</v>
      </c>
      <c r="B47" s="1" t="s">
        <v>229</v>
      </c>
      <c r="C47" s="1">
        <v>8</v>
      </c>
      <c r="D47" t="s">
        <v>72</v>
      </c>
      <c r="E47" t="s">
        <v>159</v>
      </c>
      <c r="F47" t="s">
        <v>64</v>
      </c>
      <c r="G47" t="s">
        <v>65</v>
      </c>
      <c r="H47" t="s">
        <v>71</v>
      </c>
      <c r="I47" t="s">
        <v>92</v>
      </c>
      <c r="J47" t="s">
        <v>89</v>
      </c>
      <c r="K47" t="s">
        <v>205</v>
      </c>
    </row>
    <row r="48" spans="1:19" ht="26.25" x14ac:dyDescent="0.25">
      <c r="A48" s="2">
        <v>20047</v>
      </c>
      <c r="B48" s="1" t="s">
        <v>230</v>
      </c>
      <c r="C48" s="1">
        <v>9</v>
      </c>
      <c r="D48" t="s">
        <v>65</v>
      </c>
      <c r="E48" t="s">
        <v>121</v>
      </c>
      <c r="F48" t="s">
        <v>64</v>
      </c>
      <c r="G48" t="s">
        <v>88</v>
      </c>
      <c r="H48" t="s">
        <v>74</v>
      </c>
      <c r="I48" t="s">
        <v>67</v>
      </c>
      <c r="J48" t="s">
        <v>66</v>
      </c>
      <c r="K48" t="s">
        <v>148</v>
      </c>
      <c r="L48" t="s">
        <v>192</v>
      </c>
    </row>
    <row r="49" spans="1:21" x14ac:dyDescent="0.25">
      <c r="A49" s="2">
        <v>20048</v>
      </c>
      <c r="B49" s="1" t="s">
        <v>174</v>
      </c>
      <c r="C49" s="1">
        <v>0</v>
      </c>
    </row>
    <row r="50" spans="1:21" ht="26.25" x14ac:dyDescent="0.25">
      <c r="A50" s="2">
        <v>20049</v>
      </c>
      <c r="B50" s="1" t="s">
        <v>231</v>
      </c>
      <c r="C50" s="1">
        <v>10</v>
      </c>
      <c r="D50" t="s">
        <v>65</v>
      </c>
      <c r="E50" t="s">
        <v>232</v>
      </c>
      <c r="F50" t="s">
        <v>92</v>
      </c>
      <c r="G50" t="s">
        <v>67</v>
      </c>
      <c r="H50" t="s">
        <v>84</v>
      </c>
      <c r="I50" t="s">
        <v>82</v>
      </c>
      <c r="J50" t="s">
        <v>87</v>
      </c>
      <c r="K50" t="s">
        <v>95</v>
      </c>
      <c r="L50" t="s">
        <v>126</v>
      </c>
      <c r="M50" t="s">
        <v>66</v>
      </c>
    </row>
    <row r="51" spans="1:21" ht="39" x14ac:dyDescent="0.25">
      <c r="A51" s="2">
        <v>20050</v>
      </c>
      <c r="B51" s="1" t="s">
        <v>233</v>
      </c>
      <c r="C51" s="1">
        <v>14</v>
      </c>
      <c r="D51" t="s">
        <v>64</v>
      </c>
      <c r="E51" t="s">
        <v>65</v>
      </c>
      <c r="F51" t="s">
        <v>71</v>
      </c>
      <c r="G51" t="s">
        <v>72</v>
      </c>
      <c r="H51" t="s">
        <v>92</v>
      </c>
      <c r="I51" t="s">
        <v>116</v>
      </c>
      <c r="J51" t="s">
        <v>67</v>
      </c>
      <c r="K51" t="s">
        <v>91</v>
      </c>
      <c r="L51" t="s">
        <v>66</v>
      </c>
      <c r="M51" t="s">
        <v>86</v>
      </c>
      <c r="N51" t="s">
        <v>84</v>
      </c>
      <c r="O51" t="s">
        <v>181</v>
      </c>
      <c r="P51" t="s">
        <v>85</v>
      </c>
      <c r="Q51" t="s">
        <v>234</v>
      </c>
    </row>
    <row r="52" spans="1:21" ht="26.25" x14ac:dyDescent="0.25">
      <c r="A52" s="2">
        <v>20051</v>
      </c>
      <c r="B52" s="1" t="s">
        <v>235</v>
      </c>
      <c r="C52" s="1">
        <v>9</v>
      </c>
      <c r="D52" t="s">
        <v>65</v>
      </c>
      <c r="E52" t="s">
        <v>64</v>
      </c>
      <c r="F52" t="s">
        <v>80</v>
      </c>
      <c r="G52" t="s">
        <v>71</v>
      </c>
      <c r="H52" t="s">
        <v>67</v>
      </c>
      <c r="I52" t="s">
        <v>91</v>
      </c>
      <c r="J52" t="s">
        <v>179</v>
      </c>
      <c r="K52" t="s">
        <v>121</v>
      </c>
      <c r="L52" t="s">
        <v>236</v>
      </c>
    </row>
    <row r="53" spans="1:21" ht="26.25" x14ac:dyDescent="0.25">
      <c r="A53" s="2">
        <v>20052</v>
      </c>
      <c r="B53" s="1" t="s">
        <v>237</v>
      </c>
      <c r="C53" s="1">
        <v>12</v>
      </c>
      <c r="D53" t="s">
        <v>65</v>
      </c>
      <c r="E53" t="s">
        <v>64</v>
      </c>
      <c r="F53" t="s">
        <v>121</v>
      </c>
      <c r="G53" t="s">
        <v>74</v>
      </c>
      <c r="H53" t="s">
        <v>217</v>
      </c>
      <c r="I53" t="s">
        <v>238</v>
      </c>
      <c r="J53" t="s">
        <v>239</v>
      </c>
      <c r="K53" t="s">
        <v>149</v>
      </c>
      <c r="L53" t="s">
        <v>67</v>
      </c>
      <c r="M53" t="s">
        <v>84</v>
      </c>
      <c r="N53" t="s">
        <v>66</v>
      </c>
      <c r="O53" t="s">
        <v>91</v>
      </c>
    </row>
    <row r="54" spans="1:21" x14ac:dyDescent="0.25">
      <c r="A54" s="2">
        <v>20053</v>
      </c>
      <c r="B54" s="1" t="s">
        <v>240</v>
      </c>
      <c r="C54" s="1">
        <v>1</v>
      </c>
      <c r="D54" t="s">
        <v>84</v>
      </c>
    </row>
    <row r="55" spans="1:21" ht="39" x14ac:dyDescent="0.25">
      <c r="A55" s="2">
        <v>20054</v>
      </c>
      <c r="B55" s="1" t="s">
        <v>241</v>
      </c>
      <c r="C55" s="1">
        <v>10</v>
      </c>
      <c r="D55" t="s">
        <v>66</v>
      </c>
      <c r="E55" t="s">
        <v>89</v>
      </c>
      <c r="F55" t="s">
        <v>91</v>
      </c>
      <c r="G55" t="s">
        <v>67</v>
      </c>
      <c r="H55" t="s">
        <v>116</v>
      </c>
      <c r="I55" t="s">
        <v>151</v>
      </c>
      <c r="J55" t="s">
        <v>65</v>
      </c>
      <c r="K55" t="s">
        <v>208</v>
      </c>
      <c r="L55" t="s">
        <v>242</v>
      </c>
      <c r="M55" t="s">
        <v>91</v>
      </c>
    </row>
    <row r="56" spans="1:21" ht="51.75" x14ac:dyDescent="0.25">
      <c r="A56" s="2">
        <v>20055</v>
      </c>
      <c r="B56" s="1" t="s">
        <v>243</v>
      </c>
      <c r="C56" s="1">
        <v>18</v>
      </c>
      <c r="D56" t="s">
        <v>156</v>
      </c>
      <c r="E56" t="s">
        <v>64</v>
      </c>
      <c r="F56" t="s">
        <v>177</v>
      </c>
      <c r="G56" t="s">
        <v>135</v>
      </c>
      <c r="H56" t="s">
        <v>72</v>
      </c>
      <c r="I56" t="s">
        <v>244</v>
      </c>
      <c r="J56" t="s">
        <v>245</v>
      </c>
      <c r="K56" t="s">
        <v>224</v>
      </c>
      <c r="L56" t="s">
        <v>246</v>
      </c>
      <c r="M56" t="s">
        <v>142</v>
      </c>
      <c r="N56" t="s">
        <v>247</v>
      </c>
      <c r="O56" t="s">
        <v>248</v>
      </c>
      <c r="P56" t="s">
        <v>105</v>
      </c>
      <c r="Q56" t="s">
        <v>172</v>
      </c>
      <c r="R56" t="s">
        <v>249</v>
      </c>
      <c r="S56" t="s">
        <v>250</v>
      </c>
      <c r="T56" t="s">
        <v>193</v>
      </c>
      <c r="U56" t="s">
        <v>194</v>
      </c>
    </row>
    <row r="57" spans="1:21" x14ac:dyDescent="0.25">
      <c r="A57" s="2">
        <v>20056</v>
      </c>
      <c r="B57" s="1" t="s">
        <v>251</v>
      </c>
      <c r="C57" s="1">
        <v>4</v>
      </c>
      <c r="D57" t="s">
        <v>67</v>
      </c>
      <c r="E57" t="s">
        <v>66</v>
      </c>
      <c r="F57" t="s">
        <v>84</v>
      </c>
      <c r="G57" t="s">
        <v>147</v>
      </c>
    </row>
    <row r="58" spans="1:21" x14ac:dyDescent="0.25">
      <c r="A58" s="2">
        <v>20057</v>
      </c>
      <c r="B58" s="1" t="s">
        <v>252</v>
      </c>
      <c r="C58" s="1">
        <v>5</v>
      </c>
      <c r="D58" t="s">
        <v>253</v>
      </c>
      <c r="E58" t="s">
        <v>72</v>
      </c>
      <c r="F58" t="s">
        <v>134</v>
      </c>
      <c r="G58" t="s">
        <v>133</v>
      </c>
      <c r="H58" t="s">
        <v>254</v>
      </c>
    </row>
    <row r="59" spans="1:21" ht="26.25" x14ac:dyDescent="0.25">
      <c r="A59" s="2">
        <v>20058</v>
      </c>
      <c r="B59" s="1" t="s">
        <v>255</v>
      </c>
      <c r="C59" s="1">
        <v>7</v>
      </c>
      <c r="D59" t="s">
        <v>64</v>
      </c>
      <c r="E59" t="s">
        <v>65</v>
      </c>
      <c r="F59" t="s">
        <v>66</v>
      </c>
      <c r="G59" t="s">
        <v>256</v>
      </c>
      <c r="H59" t="s">
        <v>254</v>
      </c>
      <c r="I59" t="s">
        <v>130</v>
      </c>
      <c r="J59" t="s">
        <v>116</v>
      </c>
    </row>
    <row r="60" spans="1:21" ht="26.25" x14ac:dyDescent="0.25">
      <c r="A60" s="2">
        <v>20059</v>
      </c>
      <c r="B60" s="1" t="s">
        <v>257</v>
      </c>
      <c r="C60" s="1">
        <v>9</v>
      </c>
      <c r="D60" t="s">
        <v>64</v>
      </c>
      <c r="E60" t="s">
        <v>65</v>
      </c>
      <c r="F60" t="s">
        <v>81</v>
      </c>
      <c r="G60" t="s">
        <v>71</v>
      </c>
      <c r="H60" t="s">
        <v>102</v>
      </c>
      <c r="I60" t="s">
        <v>121</v>
      </c>
      <c r="J60" t="s">
        <v>126</v>
      </c>
      <c r="K60" t="s">
        <v>114</v>
      </c>
      <c r="L60" t="s">
        <v>72</v>
      </c>
    </row>
    <row r="61" spans="1:21" x14ac:dyDescent="0.25">
      <c r="A61" s="2">
        <v>20060</v>
      </c>
      <c r="B61" s="1" t="s">
        <v>258</v>
      </c>
      <c r="C61" s="1">
        <v>0</v>
      </c>
    </row>
    <row r="62" spans="1:21" ht="26.25" x14ac:dyDescent="0.25">
      <c r="A62" s="2">
        <v>20061</v>
      </c>
      <c r="B62" s="1" t="s">
        <v>259</v>
      </c>
      <c r="C62" s="1">
        <v>5</v>
      </c>
      <c r="D62" t="s">
        <v>155</v>
      </c>
      <c r="E62" t="s">
        <v>215</v>
      </c>
      <c r="F62" t="s">
        <v>72</v>
      </c>
      <c r="G62" t="s">
        <v>260</v>
      </c>
      <c r="H62" t="s">
        <v>71</v>
      </c>
    </row>
    <row r="63" spans="1:21" ht="26.25" x14ac:dyDescent="0.25">
      <c r="A63" s="2">
        <v>20062</v>
      </c>
      <c r="B63" s="1" t="s">
        <v>261</v>
      </c>
      <c r="C63" s="1">
        <v>11</v>
      </c>
      <c r="D63" t="s">
        <v>92</v>
      </c>
      <c r="E63" t="s">
        <v>64</v>
      </c>
      <c r="F63" t="s">
        <v>65</v>
      </c>
      <c r="G63" t="s">
        <v>66</v>
      </c>
      <c r="H63" t="s">
        <v>87</v>
      </c>
      <c r="I63" t="s">
        <v>84</v>
      </c>
      <c r="J63" t="s">
        <v>71</v>
      </c>
      <c r="K63" t="s">
        <v>262</v>
      </c>
      <c r="L63" t="s">
        <v>74</v>
      </c>
      <c r="M63" t="s">
        <v>89</v>
      </c>
      <c r="N63" t="s">
        <v>115</v>
      </c>
    </row>
    <row r="64" spans="1:21" x14ac:dyDescent="0.25">
      <c r="A64" s="2">
        <v>20063</v>
      </c>
      <c r="B64" s="1" t="s">
        <v>263</v>
      </c>
      <c r="C64" s="1">
        <v>1</v>
      </c>
      <c r="D64" t="s">
        <v>65</v>
      </c>
    </row>
    <row r="65" spans="1:23" x14ac:dyDescent="0.25">
      <c r="A65" s="2">
        <v>20064</v>
      </c>
      <c r="B65" s="1" t="s">
        <v>264</v>
      </c>
      <c r="C65" s="1">
        <v>4</v>
      </c>
      <c r="D65" t="s">
        <v>201</v>
      </c>
      <c r="E65" t="s">
        <v>217</v>
      </c>
      <c r="F65" t="s">
        <v>64</v>
      </c>
      <c r="G65" t="s">
        <v>65</v>
      </c>
    </row>
    <row r="66" spans="1:23" ht="39" x14ac:dyDescent="0.25">
      <c r="A66" s="2">
        <v>20065</v>
      </c>
      <c r="B66" s="1" t="s">
        <v>265</v>
      </c>
      <c r="C66" s="1">
        <v>14</v>
      </c>
      <c r="D66" t="s">
        <v>65</v>
      </c>
      <c r="E66" t="s">
        <v>64</v>
      </c>
      <c r="F66" t="s">
        <v>71</v>
      </c>
      <c r="G66" t="s">
        <v>66</v>
      </c>
      <c r="H66" t="s">
        <v>82</v>
      </c>
      <c r="I66" t="s">
        <v>248</v>
      </c>
      <c r="J66" t="s">
        <v>136</v>
      </c>
      <c r="K66" t="s">
        <v>266</v>
      </c>
      <c r="L66" t="s">
        <v>123</v>
      </c>
      <c r="M66" t="s">
        <v>201</v>
      </c>
      <c r="N66" t="s">
        <v>122</v>
      </c>
      <c r="O66" t="s">
        <v>74</v>
      </c>
      <c r="P66" t="s">
        <v>93</v>
      </c>
      <c r="Q66" t="s">
        <v>94</v>
      </c>
    </row>
    <row r="67" spans="1:23" ht="26.25" x14ac:dyDescent="0.25">
      <c r="A67" s="2">
        <v>20066</v>
      </c>
      <c r="B67" s="1" t="s">
        <v>267</v>
      </c>
      <c r="C67" s="1">
        <v>11</v>
      </c>
      <c r="D67" t="s">
        <v>64</v>
      </c>
      <c r="E67" t="s">
        <v>65</v>
      </c>
      <c r="F67" t="s">
        <v>67</v>
      </c>
      <c r="G67" t="s">
        <v>66</v>
      </c>
      <c r="H67" t="s">
        <v>84</v>
      </c>
      <c r="I67" t="s">
        <v>126</v>
      </c>
      <c r="J67" t="s">
        <v>92</v>
      </c>
      <c r="K67" t="s">
        <v>120</v>
      </c>
      <c r="L67" t="s">
        <v>81</v>
      </c>
      <c r="M67" t="s">
        <v>207</v>
      </c>
      <c r="N67" t="s">
        <v>156</v>
      </c>
    </row>
    <row r="68" spans="1:23" ht="26.25" x14ac:dyDescent="0.25">
      <c r="A68" s="2">
        <v>20067</v>
      </c>
      <c r="B68" s="1" t="s">
        <v>268</v>
      </c>
      <c r="C68" s="1">
        <v>9</v>
      </c>
      <c r="D68" t="s">
        <v>93</v>
      </c>
      <c r="E68" t="s">
        <v>84</v>
      </c>
      <c r="F68" t="s">
        <v>64</v>
      </c>
      <c r="G68" t="s">
        <v>65</v>
      </c>
      <c r="H68" t="s">
        <v>121</v>
      </c>
      <c r="I68" t="s">
        <v>94</v>
      </c>
      <c r="J68" t="s">
        <v>85</v>
      </c>
      <c r="K68" t="s">
        <v>161</v>
      </c>
      <c r="L68" t="s">
        <v>123</v>
      </c>
    </row>
    <row r="69" spans="1:23" ht="26.25" x14ac:dyDescent="0.25">
      <c r="A69" s="2">
        <v>20068</v>
      </c>
      <c r="B69" s="1" t="s">
        <v>269</v>
      </c>
      <c r="C69" s="2">
        <v>7</v>
      </c>
      <c r="D69" t="s">
        <v>84</v>
      </c>
      <c r="E69" t="s">
        <v>66</v>
      </c>
      <c r="F69" t="s">
        <v>64</v>
      </c>
      <c r="G69" t="s">
        <v>65</v>
      </c>
      <c r="H69" t="s">
        <v>148</v>
      </c>
      <c r="I69" t="s">
        <v>270</v>
      </c>
      <c r="J69" t="s">
        <v>67</v>
      </c>
    </row>
    <row r="70" spans="1:23" x14ac:dyDescent="0.25">
      <c r="A70" s="2">
        <v>20069</v>
      </c>
      <c r="B70" s="1" t="s">
        <v>271</v>
      </c>
      <c r="C70" s="1">
        <v>1</v>
      </c>
      <c r="D70" t="s">
        <v>271</v>
      </c>
    </row>
    <row r="71" spans="1:23" ht="26.25" x14ac:dyDescent="0.25">
      <c r="A71" s="2">
        <v>20070</v>
      </c>
      <c r="B71" s="1" t="s">
        <v>272</v>
      </c>
      <c r="C71" s="1">
        <v>6</v>
      </c>
      <c r="D71" t="s">
        <v>88</v>
      </c>
      <c r="E71" t="s">
        <v>67</v>
      </c>
      <c r="F71" t="s">
        <v>84</v>
      </c>
      <c r="G71" t="s">
        <v>74</v>
      </c>
      <c r="H71" t="s">
        <v>93</v>
      </c>
      <c r="I71" t="s">
        <v>73</v>
      </c>
    </row>
    <row r="72" spans="1:23" ht="51.75" x14ac:dyDescent="0.25">
      <c r="A72" s="2">
        <v>20071</v>
      </c>
      <c r="B72" s="1" t="s">
        <v>273</v>
      </c>
      <c r="C72" s="2">
        <v>18</v>
      </c>
      <c r="D72" t="s">
        <v>71</v>
      </c>
      <c r="E72" t="s">
        <v>64</v>
      </c>
      <c r="F72" t="s">
        <v>66</v>
      </c>
      <c r="G72" t="s">
        <v>65</v>
      </c>
      <c r="H72" t="s">
        <v>161</v>
      </c>
      <c r="I72" t="s">
        <v>88</v>
      </c>
      <c r="J72" t="s">
        <v>147</v>
      </c>
      <c r="K72" t="s">
        <v>84</v>
      </c>
      <c r="L72" t="s">
        <v>67</v>
      </c>
      <c r="M72" t="s">
        <v>91</v>
      </c>
      <c r="N72" t="s">
        <v>89</v>
      </c>
      <c r="O72" t="s">
        <v>95</v>
      </c>
      <c r="P72" t="s">
        <v>266</v>
      </c>
      <c r="Q72" t="s">
        <v>136</v>
      </c>
      <c r="R72" t="s">
        <v>87</v>
      </c>
      <c r="S72" t="s">
        <v>274</v>
      </c>
      <c r="T72" t="s">
        <v>187</v>
      </c>
      <c r="U72" t="s">
        <v>150</v>
      </c>
    </row>
    <row r="73" spans="1:23" x14ac:dyDescent="0.25">
      <c r="A73" s="2">
        <v>20072</v>
      </c>
      <c r="B73" s="1" t="s">
        <v>275</v>
      </c>
      <c r="C73" s="2">
        <v>4</v>
      </c>
      <c r="D73" t="s">
        <v>65</v>
      </c>
      <c r="E73" t="s">
        <v>64</v>
      </c>
      <c r="F73" t="s">
        <v>276</v>
      </c>
      <c r="G73" t="s">
        <v>92</v>
      </c>
    </row>
    <row r="74" spans="1:23" x14ac:dyDescent="0.25">
      <c r="A74" s="2">
        <v>20073</v>
      </c>
      <c r="B74" s="1" t="s">
        <v>277</v>
      </c>
      <c r="C74" s="2" t="s">
        <v>278</v>
      </c>
    </row>
    <row r="75" spans="1:23" ht="64.5" x14ac:dyDescent="0.25">
      <c r="A75" s="2">
        <v>20074</v>
      </c>
      <c r="B75" s="1" t="s">
        <v>279</v>
      </c>
      <c r="C75" s="2">
        <v>20</v>
      </c>
      <c r="D75" t="s">
        <v>280</v>
      </c>
      <c r="E75" t="s">
        <v>74</v>
      </c>
      <c r="F75" t="s">
        <v>193</v>
      </c>
      <c r="G75" t="s">
        <v>281</v>
      </c>
      <c r="H75" t="s">
        <v>116</v>
      </c>
      <c r="I75" t="s">
        <v>181</v>
      </c>
      <c r="J75" t="s">
        <v>66</v>
      </c>
      <c r="K75" t="s">
        <v>94</v>
      </c>
      <c r="L75" t="s">
        <v>142</v>
      </c>
      <c r="M75" t="s">
        <v>64</v>
      </c>
      <c r="N75" t="s">
        <v>65</v>
      </c>
      <c r="O75" t="s">
        <v>88</v>
      </c>
      <c r="P75" t="s">
        <v>282</v>
      </c>
      <c r="Q75" t="s">
        <v>283</v>
      </c>
      <c r="R75" t="s">
        <v>245</v>
      </c>
      <c r="S75" t="s">
        <v>167</v>
      </c>
      <c r="T75" t="s">
        <v>284</v>
      </c>
      <c r="U75" t="s">
        <v>224</v>
      </c>
      <c r="V75" t="s">
        <v>149</v>
      </c>
      <c r="W75" t="s">
        <v>150</v>
      </c>
    </row>
    <row r="76" spans="1:23" ht="39" x14ac:dyDescent="0.25">
      <c r="A76" s="2">
        <v>20075</v>
      </c>
      <c r="B76" s="1" t="s">
        <v>285</v>
      </c>
      <c r="C76" s="2">
        <v>11</v>
      </c>
      <c r="D76" t="s">
        <v>64</v>
      </c>
      <c r="E76" t="s">
        <v>65</v>
      </c>
      <c r="F76" t="s">
        <v>67</v>
      </c>
      <c r="G76" t="s">
        <v>91</v>
      </c>
      <c r="H76" t="s">
        <v>92</v>
      </c>
      <c r="I76" t="s">
        <v>71</v>
      </c>
      <c r="J76" t="s">
        <v>150</v>
      </c>
      <c r="K76" t="s">
        <v>66</v>
      </c>
      <c r="L76" t="s">
        <v>286</v>
      </c>
      <c r="M76" t="s">
        <v>113</v>
      </c>
      <c r="N76" t="s">
        <v>70</v>
      </c>
    </row>
    <row r="77" spans="1:23" x14ac:dyDescent="0.25">
      <c r="A77" s="2">
        <v>20076</v>
      </c>
      <c r="B77" s="1" t="s">
        <v>287</v>
      </c>
      <c r="C77" s="2">
        <v>3</v>
      </c>
      <c r="D77" t="s">
        <v>64</v>
      </c>
      <c r="E77" t="s">
        <v>89</v>
      </c>
      <c r="F77" t="s">
        <v>91</v>
      </c>
    </row>
    <row r="78" spans="1:23" ht="39" x14ac:dyDescent="0.25">
      <c r="A78" s="2">
        <v>20077</v>
      </c>
      <c r="B78" s="1" t="s">
        <v>288</v>
      </c>
      <c r="C78" s="2">
        <v>13</v>
      </c>
      <c r="D78" t="s">
        <v>65</v>
      </c>
      <c r="E78" t="s">
        <v>64</v>
      </c>
      <c r="F78" t="s">
        <v>80</v>
      </c>
      <c r="G78" t="s">
        <v>148</v>
      </c>
      <c r="H78" t="s">
        <v>217</v>
      </c>
      <c r="I78" t="s">
        <v>289</v>
      </c>
      <c r="J78" t="s">
        <v>290</v>
      </c>
      <c r="K78" t="s">
        <v>262</v>
      </c>
      <c r="L78" t="s">
        <v>71</v>
      </c>
      <c r="M78" t="s">
        <v>121</v>
      </c>
      <c r="N78" t="s">
        <v>66</v>
      </c>
      <c r="O78" t="s">
        <v>91</v>
      </c>
      <c r="P78" t="s">
        <v>67</v>
      </c>
    </row>
    <row r="79" spans="1:23" ht="39" x14ac:dyDescent="0.25">
      <c r="A79" s="2">
        <v>20078</v>
      </c>
      <c r="B79" s="1" t="s">
        <v>291</v>
      </c>
      <c r="C79" s="2">
        <v>9</v>
      </c>
      <c r="D79" t="s">
        <v>64</v>
      </c>
      <c r="E79" t="s">
        <v>65</v>
      </c>
      <c r="F79" t="s">
        <v>121</v>
      </c>
      <c r="G79" t="s">
        <v>92</v>
      </c>
      <c r="H79" t="s">
        <v>133</v>
      </c>
      <c r="I79" t="s">
        <v>84</v>
      </c>
      <c r="J79" t="s">
        <v>66</v>
      </c>
      <c r="K79" t="s">
        <v>153</v>
      </c>
      <c r="L79" t="s">
        <v>130</v>
      </c>
    </row>
    <row r="80" spans="1:23" ht="39" x14ac:dyDescent="0.25">
      <c r="A80" s="2">
        <v>20079</v>
      </c>
      <c r="B80" s="1" t="s">
        <v>292</v>
      </c>
      <c r="C80" s="2">
        <v>13</v>
      </c>
      <c r="D80" t="s">
        <v>217</v>
      </c>
      <c r="E80" t="s">
        <v>92</v>
      </c>
      <c r="F80" t="s">
        <v>71</v>
      </c>
      <c r="G80" t="s">
        <v>72</v>
      </c>
      <c r="H80" t="s">
        <v>84</v>
      </c>
      <c r="I80" t="s">
        <v>66</v>
      </c>
      <c r="J80" t="s">
        <v>67</v>
      </c>
      <c r="K80" t="s">
        <v>91</v>
      </c>
      <c r="L80" t="s">
        <v>89</v>
      </c>
      <c r="M80" t="s">
        <v>64</v>
      </c>
      <c r="N80" t="s">
        <v>65</v>
      </c>
      <c r="O80" t="s">
        <v>161</v>
      </c>
      <c r="P80" t="s">
        <v>73</v>
      </c>
    </row>
    <row r="81" spans="1:18" x14ac:dyDescent="0.25">
      <c r="A81" s="2">
        <v>20080</v>
      </c>
      <c r="B81" s="1" t="s">
        <v>174</v>
      </c>
      <c r="C81" s="2">
        <v>0</v>
      </c>
    </row>
    <row r="82" spans="1:18" x14ac:dyDescent="0.25">
      <c r="A82" s="2">
        <v>20081</v>
      </c>
      <c r="B82" s="1" t="s">
        <v>174</v>
      </c>
      <c r="C82" s="2">
        <v>0</v>
      </c>
    </row>
    <row r="83" spans="1:18" x14ac:dyDescent="0.25">
      <c r="A83" s="2">
        <v>20082</v>
      </c>
      <c r="B83" s="1" t="s">
        <v>293</v>
      </c>
      <c r="C83" s="2">
        <v>4</v>
      </c>
      <c r="D83" t="s">
        <v>64</v>
      </c>
      <c r="E83" t="s">
        <v>65</v>
      </c>
      <c r="F83" t="s">
        <v>116</v>
      </c>
      <c r="G83" t="s">
        <v>81</v>
      </c>
    </row>
    <row r="84" spans="1:18" x14ac:dyDescent="0.25">
      <c r="A84" s="2">
        <v>20083</v>
      </c>
      <c r="B84" s="1" t="s">
        <v>174</v>
      </c>
      <c r="C84" s="2">
        <v>0</v>
      </c>
    </row>
    <row r="85" spans="1:18" ht="39" x14ac:dyDescent="0.25">
      <c r="A85" s="2">
        <v>20084</v>
      </c>
      <c r="B85" s="1" t="s">
        <v>294</v>
      </c>
      <c r="C85" s="2">
        <v>12</v>
      </c>
      <c r="D85" t="s">
        <v>232</v>
      </c>
      <c r="E85" t="s">
        <v>177</v>
      </c>
      <c r="F85" t="s">
        <v>295</v>
      </c>
      <c r="G85" t="s">
        <v>250</v>
      </c>
      <c r="H85" t="s">
        <v>172</v>
      </c>
      <c r="I85" t="s">
        <v>249</v>
      </c>
      <c r="J85" t="s">
        <v>193</v>
      </c>
      <c r="K85" t="s">
        <v>194</v>
      </c>
      <c r="L85" t="s">
        <v>224</v>
      </c>
      <c r="M85" t="s">
        <v>95</v>
      </c>
      <c r="N85" t="s">
        <v>296</v>
      </c>
      <c r="O85" t="s">
        <v>297</v>
      </c>
    </row>
    <row r="86" spans="1:18" x14ac:dyDescent="0.25">
      <c r="A86" s="2">
        <v>20085</v>
      </c>
      <c r="B86" s="1" t="s">
        <v>298</v>
      </c>
      <c r="C86" s="2">
        <v>1</v>
      </c>
      <c r="D86" t="s">
        <v>65</v>
      </c>
    </row>
    <row r="87" spans="1:18" ht="39" x14ac:dyDescent="0.25">
      <c r="A87" s="2">
        <v>20086</v>
      </c>
      <c r="B87" s="1" t="s">
        <v>299</v>
      </c>
      <c r="C87" s="2">
        <v>13</v>
      </c>
      <c r="D87" t="s">
        <v>64</v>
      </c>
      <c r="E87" t="s">
        <v>65</v>
      </c>
      <c r="F87" t="s">
        <v>71</v>
      </c>
      <c r="G87" t="s">
        <v>91</v>
      </c>
      <c r="H87" t="s">
        <v>89</v>
      </c>
      <c r="I87" t="s">
        <v>82</v>
      </c>
      <c r="J87" t="s">
        <v>93</v>
      </c>
      <c r="K87" t="s">
        <v>116</v>
      </c>
      <c r="L87" t="s">
        <v>113</v>
      </c>
      <c r="M87" t="s">
        <v>179</v>
      </c>
      <c r="N87" t="s">
        <v>238</v>
      </c>
      <c r="O87" t="s">
        <v>120</v>
      </c>
      <c r="P87" t="s">
        <v>66</v>
      </c>
    </row>
    <row r="88" spans="1:18" x14ac:dyDescent="0.25">
      <c r="A88" s="2">
        <v>20087</v>
      </c>
      <c r="B88" s="1" t="s">
        <v>300</v>
      </c>
      <c r="C88" s="2">
        <v>1</v>
      </c>
      <c r="D88" t="s">
        <v>115</v>
      </c>
    </row>
    <row r="89" spans="1:18" ht="51.75" x14ac:dyDescent="0.25">
      <c r="A89" s="2">
        <v>20088</v>
      </c>
      <c r="B89" s="1" t="s">
        <v>301</v>
      </c>
      <c r="C89" s="2">
        <v>15</v>
      </c>
      <c r="D89" s="2" t="s">
        <v>302</v>
      </c>
      <c r="E89" s="2" t="s">
        <v>303</v>
      </c>
      <c r="F89" t="s">
        <v>65</v>
      </c>
      <c r="G89" t="s">
        <v>64</v>
      </c>
      <c r="H89" t="s">
        <v>66</v>
      </c>
      <c r="I89" t="s">
        <v>149</v>
      </c>
      <c r="J89" t="s">
        <v>304</v>
      </c>
      <c r="K89" t="s">
        <v>85</v>
      </c>
      <c r="L89" t="s">
        <v>305</v>
      </c>
      <c r="M89" t="s">
        <v>103</v>
      </c>
      <c r="N89" t="s">
        <v>70</v>
      </c>
      <c r="O89" t="s">
        <v>306</v>
      </c>
      <c r="P89" t="s">
        <v>307</v>
      </c>
      <c r="Q89" t="s">
        <v>308</v>
      </c>
      <c r="R89" t="s">
        <v>86</v>
      </c>
    </row>
    <row r="90" spans="1:18" x14ac:dyDescent="0.25">
      <c r="A90" s="2">
        <v>20089</v>
      </c>
      <c r="B90" s="1" t="s">
        <v>174</v>
      </c>
      <c r="C90" s="2">
        <v>0</v>
      </c>
    </row>
    <row r="91" spans="1:18" ht="39" x14ac:dyDescent="0.25">
      <c r="A91" s="2">
        <v>20090</v>
      </c>
      <c r="B91" s="1" t="s">
        <v>309</v>
      </c>
      <c r="C91" s="2">
        <v>15</v>
      </c>
      <c r="D91" t="s">
        <v>115</v>
      </c>
      <c r="E91" t="s">
        <v>64</v>
      </c>
      <c r="F91" t="s">
        <v>65</v>
      </c>
      <c r="G91" t="s">
        <v>89</v>
      </c>
      <c r="H91" t="s">
        <v>286</v>
      </c>
      <c r="I91" t="s">
        <v>80</v>
      </c>
      <c r="J91" t="s">
        <v>91</v>
      </c>
      <c r="K91" t="s">
        <v>155</v>
      </c>
      <c r="L91" t="s">
        <v>205</v>
      </c>
      <c r="M91" t="s">
        <v>67</v>
      </c>
      <c r="N91" t="s">
        <v>150</v>
      </c>
      <c r="O91" t="s">
        <v>66</v>
      </c>
      <c r="P91" t="s">
        <v>84</v>
      </c>
      <c r="Q91" t="s">
        <v>92</v>
      </c>
      <c r="R91" t="s">
        <v>148</v>
      </c>
    </row>
    <row r="92" spans="1:18" ht="39" x14ac:dyDescent="0.25">
      <c r="A92" s="2">
        <v>20091</v>
      </c>
      <c r="B92" s="1" t="s">
        <v>310</v>
      </c>
      <c r="C92" s="2">
        <v>13</v>
      </c>
      <c r="D92" t="s">
        <v>120</v>
      </c>
      <c r="E92" t="s">
        <v>199</v>
      </c>
      <c r="F92" t="s">
        <v>64</v>
      </c>
      <c r="G92" t="s">
        <v>127</v>
      </c>
      <c r="H92" t="s">
        <v>84</v>
      </c>
      <c r="I92" t="s">
        <v>95</v>
      </c>
      <c r="J92" t="s">
        <v>81</v>
      </c>
      <c r="K92" t="s">
        <v>115</v>
      </c>
      <c r="L92" t="s">
        <v>221</v>
      </c>
      <c r="M92" t="s">
        <v>74</v>
      </c>
      <c r="N92" t="s">
        <v>165</v>
      </c>
      <c r="O92" t="s">
        <v>283</v>
      </c>
      <c r="P92" t="s">
        <v>311</v>
      </c>
    </row>
    <row r="93" spans="1:18" x14ac:dyDescent="0.25">
      <c r="A93" s="2">
        <v>20092</v>
      </c>
      <c r="B93" s="1" t="s">
        <v>312</v>
      </c>
      <c r="C93" s="2">
        <v>0</v>
      </c>
    </row>
    <row r="94" spans="1:18" ht="26.25" x14ac:dyDescent="0.25">
      <c r="A94" s="2">
        <v>20093</v>
      </c>
      <c r="B94" s="1" t="s">
        <v>313</v>
      </c>
      <c r="C94" s="2">
        <v>5</v>
      </c>
      <c r="D94" t="s">
        <v>66</v>
      </c>
      <c r="E94" t="s">
        <v>177</v>
      </c>
      <c r="F94" t="s">
        <v>67</v>
      </c>
      <c r="G94" t="s">
        <v>232</v>
      </c>
      <c r="H94" t="s">
        <v>180</v>
      </c>
    </row>
    <row r="95" spans="1:18" x14ac:dyDescent="0.25">
      <c r="A95" s="2">
        <v>20094</v>
      </c>
      <c r="B95" s="1" t="s">
        <v>314</v>
      </c>
      <c r="C95" s="2">
        <v>2</v>
      </c>
      <c r="D95" t="s">
        <v>92</v>
      </c>
      <c r="E95" t="s">
        <v>315</v>
      </c>
    </row>
    <row r="96" spans="1:18" x14ac:dyDescent="0.25">
      <c r="A96" s="2">
        <v>20095</v>
      </c>
      <c r="B96" s="1" t="s">
        <v>65</v>
      </c>
      <c r="C96" s="2">
        <v>1</v>
      </c>
      <c r="D96" t="s">
        <v>65</v>
      </c>
    </row>
    <row r="97" spans="1:23" x14ac:dyDescent="0.25">
      <c r="A97" s="2">
        <v>20096</v>
      </c>
      <c r="B97" s="1" t="s">
        <v>316</v>
      </c>
      <c r="C97" s="2">
        <v>4</v>
      </c>
      <c r="D97" t="s">
        <v>64</v>
      </c>
      <c r="E97" t="s">
        <v>65</v>
      </c>
      <c r="F97" t="s">
        <v>317</v>
      </c>
      <c r="G97" t="s">
        <v>92</v>
      </c>
    </row>
    <row r="98" spans="1:23" x14ac:dyDescent="0.25">
      <c r="A98" s="2">
        <v>20097</v>
      </c>
      <c r="B98" s="1" t="s">
        <v>174</v>
      </c>
      <c r="C98" s="2">
        <v>0</v>
      </c>
    </row>
    <row r="99" spans="1:23" ht="26.25" x14ac:dyDescent="0.25">
      <c r="A99" s="2">
        <v>20098</v>
      </c>
      <c r="B99" s="1" t="s">
        <v>318</v>
      </c>
      <c r="C99" s="2">
        <v>5</v>
      </c>
      <c r="D99" t="s">
        <v>66</v>
      </c>
      <c r="E99" t="s">
        <v>67</v>
      </c>
      <c r="F99" t="s">
        <v>93</v>
      </c>
      <c r="G99" t="s">
        <v>74</v>
      </c>
      <c r="H99" t="s">
        <v>82</v>
      </c>
    </row>
    <row r="100" spans="1:23" x14ac:dyDescent="0.25">
      <c r="A100" s="2">
        <v>20099</v>
      </c>
      <c r="B100" s="1" t="s">
        <v>319</v>
      </c>
      <c r="C100" s="2">
        <v>2</v>
      </c>
      <c r="D100" t="s">
        <v>232</v>
      </c>
      <c r="E100" t="s">
        <v>177</v>
      </c>
    </row>
    <row r="101" spans="1:23" ht="51.75" x14ac:dyDescent="0.25">
      <c r="A101" s="2">
        <v>20100</v>
      </c>
      <c r="B101" s="1" t="s">
        <v>320</v>
      </c>
      <c r="C101" s="2">
        <v>14</v>
      </c>
      <c r="D101" t="s">
        <v>64</v>
      </c>
      <c r="E101" t="s">
        <v>65</v>
      </c>
      <c r="F101" t="s">
        <v>74</v>
      </c>
      <c r="G101" t="s">
        <v>80</v>
      </c>
      <c r="H101" t="s">
        <v>321</v>
      </c>
      <c r="I101" t="s">
        <v>181</v>
      </c>
      <c r="J101" t="s">
        <v>71</v>
      </c>
      <c r="K101" t="s">
        <v>322</v>
      </c>
      <c r="L101" t="s">
        <v>207</v>
      </c>
      <c r="M101" t="s">
        <v>323</v>
      </c>
      <c r="N101" t="s">
        <v>82</v>
      </c>
      <c r="O101" t="s">
        <v>66</v>
      </c>
      <c r="P101" t="s">
        <v>116</v>
      </c>
      <c r="Q101" t="s">
        <v>67</v>
      </c>
    </row>
    <row r="102" spans="1:23" ht="26.25" x14ac:dyDescent="0.25">
      <c r="A102" s="2">
        <v>20101</v>
      </c>
      <c r="B102" s="1" t="s">
        <v>324</v>
      </c>
      <c r="C102" s="2">
        <v>5</v>
      </c>
      <c r="D102" t="s">
        <v>67</v>
      </c>
      <c r="E102" t="s">
        <v>92</v>
      </c>
      <c r="F102" t="s">
        <v>65</v>
      </c>
      <c r="G102" t="s">
        <v>232</v>
      </c>
      <c r="H102" t="s">
        <v>88</v>
      </c>
    </row>
    <row r="103" spans="1:23" ht="26.25" x14ac:dyDescent="0.25">
      <c r="A103" s="2">
        <v>20102</v>
      </c>
      <c r="B103" s="1" t="s">
        <v>325</v>
      </c>
      <c r="C103" s="2">
        <v>7</v>
      </c>
      <c r="D103" t="s">
        <v>64</v>
      </c>
      <c r="E103" t="s">
        <v>65</v>
      </c>
      <c r="F103" t="s">
        <v>80</v>
      </c>
      <c r="G103" t="s">
        <v>67</v>
      </c>
      <c r="H103" t="s">
        <v>91</v>
      </c>
      <c r="I103" t="s">
        <v>84</v>
      </c>
      <c r="J103" t="s">
        <v>66</v>
      </c>
    </row>
    <row r="104" spans="1:23" ht="51.75" x14ac:dyDescent="0.25">
      <c r="A104" s="2">
        <v>20103</v>
      </c>
      <c r="B104" s="1" t="s">
        <v>326</v>
      </c>
      <c r="C104" s="2">
        <v>20</v>
      </c>
      <c r="D104" t="s">
        <v>65</v>
      </c>
      <c r="E104" t="s">
        <v>64</v>
      </c>
      <c r="F104" t="s">
        <v>71</v>
      </c>
      <c r="G104" t="s">
        <v>74</v>
      </c>
      <c r="H104" t="s">
        <v>83</v>
      </c>
      <c r="I104" t="s">
        <v>207</v>
      </c>
      <c r="J104" t="s">
        <v>156</v>
      </c>
      <c r="K104" t="s">
        <v>91</v>
      </c>
      <c r="L104" t="s">
        <v>66</v>
      </c>
      <c r="M104" t="s">
        <v>72</v>
      </c>
      <c r="N104" t="s">
        <v>92</v>
      </c>
      <c r="O104" t="s">
        <v>327</v>
      </c>
      <c r="P104" t="s">
        <v>88</v>
      </c>
      <c r="Q104" t="s">
        <v>84</v>
      </c>
      <c r="R104" t="s">
        <v>94</v>
      </c>
      <c r="S104" t="s">
        <v>80</v>
      </c>
      <c r="T104" t="s">
        <v>328</v>
      </c>
      <c r="U104" t="s">
        <v>126</v>
      </c>
      <c r="V104" t="s">
        <v>329</v>
      </c>
      <c r="W104" t="s">
        <v>330</v>
      </c>
    </row>
    <row r="105" spans="1:23" ht="26.25" x14ac:dyDescent="0.25">
      <c r="A105" s="2">
        <v>20104</v>
      </c>
      <c r="B105" s="1" t="s">
        <v>331</v>
      </c>
      <c r="C105" s="2">
        <v>2</v>
      </c>
      <c r="D105" t="s">
        <v>66</v>
      </c>
      <c r="E105" t="s">
        <v>88</v>
      </c>
    </row>
    <row r="106" spans="1:23" ht="26.25" x14ac:dyDescent="0.25">
      <c r="A106" s="2">
        <v>20105</v>
      </c>
      <c r="B106" s="1" t="s">
        <v>332</v>
      </c>
      <c r="C106" s="2">
        <v>5</v>
      </c>
      <c r="D106" t="s">
        <v>66</v>
      </c>
      <c r="E106" t="s">
        <v>161</v>
      </c>
      <c r="F106" t="s">
        <v>89</v>
      </c>
      <c r="G106" t="s">
        <v>286</v>
      </c>
      <c r="H106" t="s">
        <v>80</v>
      </c>
    </row>
    <row r="107" spans="1:23" ht="26.25" x14ac:dyDescent="0.25">
      <c r="A107" s="2">
        <v>20106</v>
      </c>
      <c r="B107" s="1" t="s">
        <v>333</v>
      </c>
      <c r="C107" s="2">
        <v>10</v>
      </c>
      <c r="D107" t="s">
        <v>65</v>
      </c>
      <c r="E107" t="s">
        <v>64</v>
      </c>
      <c r="F107" t="s">
        <v>92</v>
      </c>
      <c r="G107" t="s">
        <v>71</v>
      </c>
      <c r="H107" t="s">
        <v>113</v>
      </c>
      <c r="I107" t="s">
        <v>67</v>
      </c>
      <c r="J107" t="s">
        <v>91</v>
      </c>
      <c r="K107" t="s">
        <v>89</v>
      </c>
      <c r="L107" t="s">
        <v>86</v>
      </c>
      <c r="M107" t="s">
        <v>85</v>
      </c>
    </row>
    <row r="108" spans="1:23" ht="26.25" x14ac:dyDescent="0.25">
      <c r="A108" s="2">
        <v>20107</v>
      </c>
      <c r="B108" s="1" t="s">
        <v>334</v>
      </c>
      <c r="C108" s="2">
        <v>2</v>
      </c>
      <c r="D108" t="s">
        <v>67</v>
      </c>
      <c r="E108" t="s">
        <v>224</v>
      </c>
    </row>
    <row r="109" spans="1:23" ht="26.25" x14ac:dyDescent="0.25">
      <c r="A109" s="2">
        <v>20108</v>
      </c>
      <c r="B109" s="1" t="s">
        <v>335</v>
      </c>
      <c r="C109" s="2">
        <v>8</v>
      </c>
      <c r="D109" t="s">
        <v>64</v>
      </c>
      <c r="E109" t="s">
        <v>65</v>
      </c>
      <c r="F109" t="s">
        <v>66</v>
      </c>
      <c r="G109" t="s">
        <v>71</v>
      </c>
      <c r="H109" t="s">
        <v>138</v>
      </c>
      <c r="I109" t="s">
        <v>67</v>
      </c>
      <c r="J109" t="s">
        <v>336</v>
      </c>
      <c r="K109" t="s">
        <v>286</v>
      </c>
    </row>
    <row r="110" spans="1:23" ht="51.75" x14ac:dyDescent="0.25">
      <c r="A110" s="2">
        <v>20109</v>
      </c>
      <c r="B110" s="1" t="s">
        <v>337</v>
      </c>
      <c r="C110" s="2">
        <v>20</v>
      </c>
      <c r="D110" t="s">
        <v>64</v>
      </c>
      <c r="E110" t="s">
        <v>65</v>
      </c>
      <c r="F110" t="s">
        <v>172</v>
      </c>
      <c r="G110" t="s">
        <v>207</v>
      </c>
      <c r="H110" t="s">
        <v>88</v>
      </c>
      <c r="I110" t="s">
        <v>67</v>
      </c>
      <c r="J110" t="s">
        <v>66</v>
      </c>
      <c r="K110" t="s">
        <v>84</v>
      </c>
      <c r="L110" t="s">
        <v>116</v>
      </c>
      <c r="M110" t="s">
        <v>102</v>
      </c>
      <c r="N110" t="s">
        <v>338</v>
      </c>
      <c r="O110" t="s">
        <v>339</v>
      </c>
      <c r="P110" t="s">
        <v>340</v>
      </c>
      <c r="Q110" t="s">
        <v>221</v>
      </c>
      <c r="R110" t="s">
        <v>341</v>
      </c>
      <c r="S110" t="s">
        <v>76</v>
      </c>
      <c r="T110" t="s">
        <v>113</v>
      </c>
      <c r="U110" t="s">
        <v>202</v>
      </c>
      <c r="V110" t="s">
        <v>133</v>
      </c>
      <c r="W110" t="s">
        <v>342</v>
      </c>
    </row>
    <row r="111" spans="1:23" x14ac:dyDescent="0.25">
      <c r="A111" s="2">
        <v>20110</v>
      </c>
      <c r="B111" s="1" t="s">
        <v>343</v>
      </c>
      <c r="C111" s="2">
        <v>0</v>
      </c>
    </row>
    <row r="112" spans="1:23" x14ac:dyDescent="0.25">
      <c r="A112" s="2">
        <v>20111</v>
      </c>
      <c r="B112" s="1" t="s">
        <v>174</v>
      </c>
      <c r="C112" s="2">
        <v>0</v>
      </c>
    </row>
    <row r="113" spans="1:20" x14ac:dyDescent="0.25">
      <c r="A113" s="2">
        <v>20112</v>
      </c>
      <c r="B113" s="1" t="s">
        <v>174</v>
      </c>
      <c r="C113" s="2">
        <v>0</v>
      </c>
    </row>
    <row r="114" spans="1:20" ht="26.25" x14ac:dyDescent="0.25">
      <c r="A114" s="2">
        <v>20113</v>
      </c>
      <c r="B114" s="1" t="s">
        <v>344</v>
      </c>
      <c r="C114" s="2">
        <v>11</v>
      </c>
      <c r="D114" t="s">
        <v>85</v>
      </c>
      <c r="E114" t="s">
        <v>64</v>
      </c>
      <c r="F114" t="s">
        <v>65</v>
      </c>
      <c r="G114" t="s">
        <v>121</v>
      </c>
      <c r="H114" t="s">
        <v>67</v>
      </c>
      <c r="I114" t="s">
        <v>92</v>
      </c>
      <c r="J114" t="s">
        <v>71</v>
      </c>
      <c r="K114" t="s">
        <v>286</v>
      </c>
      <c r="L114" t="s">
        <v>305</v>
      </c>
      <c r="M114" t="s">
        <v>345</v>
      </c>
      <c r="N114" t="s">
        <v>346</v>
      </c>
    </row>
    <row r="115" spans="1:20" ht="26.25" x14ac:dyDescent="0.25">
      <c r="A115" s="2">
        <v>20114</v>
      </c>
      <c r="B115" s="1" t="s">
        <v>347</v>
      </c>
      <c r="C115" s="2">
        <v>10</v>
      </c>
      <c r="D115" t="s">
        <v>116</v>
      </c>
      <c r="E115" t="s">
        <v>91</v>
      </c>
      <c r="F115" t="s">
        <v>89</v>
      </c>
      <c r="G115" t="s">
        <v>120</v>
      </c>
      <c r="H115" t="s">
        <v>65</v>
      </c>
      <c r="I115" t="s">
        <v>64</v>
      </c>
      <c r="J115" t="s">
        <v>165</v>
      </c>
      <c r="K115" t="s">
        <v>245</v>
      </c>
      <c r="L115" t="s">
        <v>100</v>
      </c>
      <c r="M115" t="s">
        <v>126</v>
      </c>
    </row>
    <row r="116" spans="1:20" x14ac:dyDescent="0.25">
      <c r="A116" s="2">
        <v>20115</v>
      </c>
      <c r="B116" s="1" t="s">
        <v>174</v>
      </c>
      <c r="C116" s="2">
        <v>0</v>
      </c>
    </row>
    <row r="117" spans="1:20" ht="26.25" x14ac:dyDescent="0.25">
      <c r="A117" s="2">
        <v>20116</v>
      </c>
      <c r="B117" s="1" t="s">
        <v>348</v>
      </c>
      <c r="C117" s="2">
        <v>7</v>
      </c>
      <c r="D117" t="s">
        <v>67</v>
      </c>
      <c r="E117" t="s">
        <v>116</v>
      </c>
      <c r="F117" t="s">
        <v>121</v>
      </c>
      <c r="G117" t="s">
        <v>65</v>
      </c>
      <c r="H117" t="s">
        <v>349</v>
      </c>
      <c r="I117" t="s">
        <v>64</v>
      </c>
      <c r="J117" t="s">
        <v>84</v>
      </c>
    </row>
    <row r="118" spans="1:20" ht="26.25" x14ac:dyDescent="0.25">
      <c r="A118" s="2">
        <v>20117</v>
      </c>
      <c r="B118" s="1" t="s">
        <v>350</v>
      </c>
      <c r="C118" s="2">
        <v>6</v>
      </c>
      <c r="D118" t="s">
        <v>71</v>
      </c>
      <c r="E118" t="s">
        <v>232</v>
      </c>
      <c r="F118" t="s">
        <v>177</v>
      </c>
      <c r="G118" t="s">
        <v>123</v>
      </c>
      <c r="H118" t="s">
        <v>95</v>
      </c>
      <c r="I118" t="s">
        <v>193</v>
      </c>
    </row>
    <row r="119" spans="1:20" x14ac:dyDescent="0.25">
      <c r="A119" s="2">
        <v>20118</v>
      </c>
      <c r="B119" s="1" t="s">
        <v>351</v>
      </c>
      <c r="C119" s="2">
        <v>4</v>
      </c>
      <c r="D119" t="s">
        <v>84</v>
      </c>
      <c r="E119" t="s">
        <v>67</v>
      </c>
      <c r="F119" t="s">
        <v>64</v>
      </c>
      <c r="G119" t="s">
        <v>65</v>
      </c>
    </row>
    <row r="120" spans="1:20" x14ac:dyDescent="0.25">
      <c r="A120" s="2">
        <v>20119</v>
      </c>
      <c r="B120" s="1" t="s">
        <v>352</v>
      </c>
      <c r="C120" s="2">
        <v>4</v>
      </c>
      <c r="D120" t="s">
        <v>131</v>
      </c>
      <c r="E120" t="s">
        <v>177</v>
      </c>
      <c r="F120" t="s">
        <v>232</v>
      </c>
      <c r="G120" t="s">
        <v>121</v>
      </c>
    </row>
    <row r="121" spans="1:20" ht="26.25" x14ac:dyDescent="0.25">
      <c r="A121" s="2">
        <v>20120</v>
      </c>
      <c r="B121" s="1" t="s">
        <v>353</v>
      </c>
      <c r="C121" s="2">
        <v>11</v>
      </c>
      <c r="D121" t="s">
        <v>64</v>
      </c>
      <c r="E121" t="s">
        <v>65</v>
      </c>
      <c r="F121" t="s">
        <v>354</v>
      </c>
      <c r="G121" t="s">
        <v>91</v>
      </c>
      <c r="H121" t="s">
        <v>84</v>
      </c>
      <c r="I121" t="s">
        <v>66</v>
      </c>
      <c r="J121" t="s">
        <v>85</v>
      </c>
      <c r="K121" t="s">
        <v>82</v>
      </c>
      <c r="L121" t="s">
        <v>116</v>
      </c>
      <c r="M121" t="s">
        <v>103</v>
      </c>
      <c r="N121" t="s">
        <v>286</v>
      </c>
    </row>
    <row r="122" spans="1:20" ht="26.25" x14ac:dyDescent="0.25">
      <c r="A122" s="2">
        <v>20121</v>
      </c>
      <c r="B122" s="1" t="s">
        <v>355</v>
      </c>
      <c r="C122" s="1">
        <v>8</v>
      </c>
      <c r="D122" t="s">
        <v>64</v>
      </c>
      <c r="E122" t="s">
        <v>65</v>
      </c>
      <c r="F122" t="s">
        <v>356</v>
      </c>
      <c r="G122" t="s">
        <v>89</v>
      </c>
      <c r="H122" t="s">
        <v>95</v>
      </c>
      <c r="I122" t="s">
        <v>81</v>
      </c>
      <c r="J122" t="s">
        <v>148</v>
      </c>
      <c r="K122" t="s">
        <v>328</v>
      </c>
    </row>
    <row r="123" spans="1:20" ht="51.75" x14ac:dyDescent="0.25">
      <c r="A123" s="2">
        <v>20122</v>
      </c>
      <c r="B123" s="1" t="s">
        <v>357</v>
      </c>
      <c r="C123" s="2">
        <v>17</v>
      </c>
      <c r="D123" t="s">
        <v>64</v>
      </c>
      <c r="E123" t="s">
        <v>65</v>
      </c>
      <c r="F123" t="s">
        <v>95</v>
      </c>
      <c r="G123" t="s">
        <v>67</v>
      </c>
      <c r="H123" t="s">
        <v>91</v>
      </c>
      <c r="I123" t="s">
        <v>89</v>
      </c>
      <c r="J123" t="s">
        <v>116</v>
      </c>
      <c r="K123" t="s">
        <v>115</v>
      </c>
      <c r="L123" t="s">
        <v>179</v>
      </c>
      <c r="M123" t="s">
        <v>358</v>
      </c>
      <c r="N123" t="s">
        <v>187</v>
      </c>
      <c r="O123" t="s">
        <v>359</v>
      </c>
      <c r="P123" t="s">
        <v>86</v>
      </c>
      <c r="Q123" t="s">
        <v>130</v>
      </c>
      <c r="R123" t="s">
        <v>88</v>
      </c>
      <c r="S123" t="s">
        <v>120</v>
      </c>
      <c r="T123" t="s">
        <v>127</v>
      </c>
    </row>
    <row r="124" spans="1:20" x14ac:dyDescent="0.25">
      <c r="A124" s="2">
        <v>20123</v>
      </c>
      <c r="B124" s="1" t="s">
        <v>360</v>
      </c>
      <c r="C124" s="2">
        <v>0</v>
      </c>
    </row>
    <row r="125" spans="1:20" x14ac:dyDescent="0.25">
      <c r="A125" s="2">
        <v>20124</v>
      </c>
      <c r="B125" s="1" t="s">
        <v>361</v>
      </c>
      <c r="C125" s="2">
        <v>2</v>
      </c>
      <c r="D125" t="s">
        <v>64</v>
      </c>
      <c r="E125" t="s">
        <v>65</v>
      </c>
    </row>
    <row r="126" spans="1:20" x14ac:dyDescent="0.25">
      <c r="A126" s="2">
        <v>20125</v>
      </c>
      <c r="B126" s="1" t="s">
        <v>362</v>
      </c>
      <c r="C126" s="1">
        <v>4</v>
      </c>
      <c r="D126" t="s">
        <v>64</v>
      </c>
      <c r="E126" t="s">
        <v>65</v>
      </c>
      <c r="F126" t="s">
        <v>260</v>
      </c>
      <c r="G126" t="s">
        <v>156</v>
      </c>
    </row>
    <row r="127" spans="1:20" x14ac:dyDescent="0.25">
      <c r="A127" s="2">
        <v>20126</v>
      </c>
      <c r="B127" s="1" t="s">
        <v>363</v>
      </c>
      <c r="C127" s="2">
        <v>0</v>
      </c>
    </row>
    <row r="128" spans="1:20" x14ac:dyDescent="0.25">
      <c r="A128" s="2">
        <v>20127</v>
      </c>
      <c r="B128" s="1" t="s">
        <v>174</v>
      </c>
      <c r="C128" s="2">
        <v>0</v>
      </c>
    </row>
    <row r="129" spans="1:22" ht="51.75" x14ac:dyDescent="0.25">
      <c r="A129" s="2">
        <v>20128</v>
      </c>
      <c r="B129" s="1" t="s">
        <v>364</v>
      </c>
      <c r="C129" s="2">
        <v>19</v>
      </c>
      <c r="D129" t="s">
        <v>71</v>
      </c>
      <c r="E129" t="s">
        <v>92</v>
      </c>
      <c r="F129" t="s">
        <v>133</v>
      </c>
      <c r="G129" t="s">
        <v>64</v>
      </c>
      <c r="H129" t="s">
        <v>65</v>
      </c>
      <c r="I129" t="s">
        <v>138</v>
      </c>
      <c r="J129" t="s">
        <v>80</v>
      </c>
      <c r="K129" t="s">
        <v>81</v>
      </c>
      <c r="L129" t="s">
        <v>286</v>
      </c>
      <c r="M129" t="s">
        <v>238</v>
      </c>
      <c r="N129" t="s">
        <v>67</v>
      </c>
      <c r="O129" t="s">
        <v>91</v>
      </c>
      <c r="P129" t="s">
        <v>89</v>
      </c>
      <c r="Q129" t="s">
        <v>84</v>
      </c>
      <c r="R129" t="s">
        <v>250</v>
      </c>
      <c r="S129" t="s">
        <v>123</v>
      </c>
      <c r="T129" t="s">
        <v>338</v>
      </c>
      <c r="U129" t="s">
        <v>95</v>
      </c>
      <c r="V129" t="s">
        <v>365</v>
      </c>
    </row>
    <row r="130" spans="1:22" ht="39" x14ac:dyDescent="0.25">
      <c r="A130" s="2">
        <v>20129</v>
      </c>
      <c r="B130" s="1" t="s">
        <v>366</v>
      </c>
      <c r="C130" s="1">
        <v>12</v>
      </c>
      <c r="D130" t="s">
        <v>64</v>
      </c>
      <c r="E130" t="s">
        <v>65</v>
      </c>
      <c r="F130" t="s">
        <v>66</v>
      </c>
      <c r="G130" t="s">
        <v>116</v>
      </c>
      <c r="H130" t="s">
        <v>84</v>
      </c>
      <c r="I130" t="s">
        <v>72</v>
      </c>
      <c r="J130" t="s">
        <v>147</v>
      </c>
      <c r="K130" t="s">
        <v>88</v>
      </c>
      <c r="L130" t="s">
        <v>92</v>
      </c>
      <c r="M130" t="s">
        <v>71</v>
      </c>
      <c r="N130" t="s">
        <v>74</v>
      </c>
      <c r="O130" t="s">
        <v>80</v>
      </c>
    </row>
    <row r="131" spans="1:22" ht="26.25" x14ac:dyDescent="0.25">
      <c r="A131" s="2">
        <v>20130</v>
      </c>
      <c r="B131" s="1" t="s">
        <v>367</v>
      </c>
      <c r="C131" s="2">
        <v>6</v>
      </c>
      <c r="D131" t="s">
        <v>64</v>
      </c>
      <c r="E131" t="s">
        <v>65</v>
      </c>
      <c r="F131" t="s">
        <v>368</v>
      </c>
      <c r="G131" t="s">
        <v>199</v>
      </c>
      <c r="H131" t="s">
        <v>194</v>
      </c>
      <c r="I131" t="s">
        <v>193</v>
      </c>
    </row>
    <row r="132" spans="1:22" ht="26.25" x14ac:dyDescent="0.25">
      <c r="A132" s="2">
        <v>20131</v>
      </c>
      <c r="B132" s="1" t="s">
        <v>369</v>
      </c>
      <c r="C132" s="1">
        <v>7</v>
      </c>
      <c r="D132" t="s">
        <v>93</v>
      </c>
      <c r="E132" t="s">
        <v>66</v>
      </c>
      <c r="F132" t="s">
        <v>103</v>
      </c>
      <c r="G132" t="s">
        <v>116</v>
      </c>
      <c r="H132" t="s">
        <v>120</v>
      </c>
      <c r="I132" t="s">
        <v>67</v>
      </c>
      <c r="J132" t="s">
        <v>91</v>
      </c>
    </row>
    <row r="133" spans="1:22" ht="26.25" x14ac:dyDescent="0.25">
      <c r="A133" s="2">
        <v>20132</v>
      </c>
      <c r="B133" s="1" t="s">
        <v>370</v>
      </c>
      <c r="C133" s="2">
        <v>9</v>
      </c>
      <c r="D133" t="s">
        <v>64</v>
      </c>
      <c r="E133" t="s">
        <v>65</v>
      </c>
      <c r="F133" t="s">
        <v>95</v>
      </c>
      <c r="G133" t="s">
        <v>72</v>
      </c>
      <c r="H133" t="s">
        <v>92</v>
      </c>
      <c r="I133" t="s">
        <v>133</v>
      </c>
      <c r="J133" t="s">
        <v>159</v>
      </c>
      <c r="K133" t="s">
        <v>84</v>
      </c>
      <c r="L133" t="s">
        <v>67</v>
      </c>
    </row>
    <row r="134" spans="1:22" ht="26.25" x14ac:dyDescent="0.25">
      <c r="A134" s="2">
        <v>20133</v>
      </c>
      <c r="B134" s="1" t="s">
        <v>371</v>
      </c>
      <c r="C134" s="1">
        <v>10</v>
      </c>
      <c r="D134" t="s">
        <v>89</v>
      </c>
      <c r="E134" t="s">
        <v>67</v>
      </c>
      <c r="F134" t="s">
        <v>91</v>
      </c>
      <c r="G134" t="s">
        <v>88</v>
      </c>
      <c r="H134" t="s">
        <v>66</v>
      </c>
      <c r="I134" t="s">
        <v>116</v>
      </c>
      <c r="J134" t="s">
        <v>64</v>
      </c>
      <c r="K134" t="s">
        <v>65</v>
      </c>
      <c r="L134" t="s">
        <v>71</v>
      </c>
      <c r="M134" t="s">
        <v>199</v>
      </c>
    </row>
    <row r="135" spans="1:22" ht="26.25" x14ac:dyDescent="0.25">
      <c r="A135" s="2">
        <v>20134</v>
      </c>
      <c r="B135" s="1" t="s">
        <v>372</v>
      </c>
      <c r="C135" s="1">
        <v>10</v>
      </c>
      <c r="D135" t="s">
        <v>64</v>
      </c>
      <c r="E135" t="s">
        <v>65</v>
      </c>
      <c r="F135" t="s">
        <v>67</v>
      </c>
      <c r="G135" t="s">
        <v>260</v>
      </c>
      <c r="H135" t="s">
        <v>373</v>
      </c>
      <c r="I135" t="s">
        <v>89</v>
      </c>
      <c r="J135" t="s">
        <v>74</v>
      </c>
      <c r="K135" t="s">
        <v>77</v>
      </c>
      <c r="L135" t="s">
        <v>286</v>
      </c>
      <c r="M135" t="s">
        <v>374</v>
      </c>
    </row>
    <row r="136" spans="1:22" ht="26.25" x14ac:dyDescent="0.25">
      <c r="A136" s="2">
        <v>20135</v>
      </c>
      <c r="B136" s="1" t="s">
        <v>375</v>
      </c>
      <c r="C136" s="2">
        <v>7</v>
      </c>
      <c r="D136" t="s">
        <v>232</v>
      </c>
      <c r="E136" t="s">
        <v>177</v>
      </c>
      <c r="F136" t="s">
        <v>135</v>
      </c>
      <c r="G136" t="s">
        <v>376</v>
      </c>
      <c r="H136" t="s">
        <v>180</v>
      </c>
      <c r="I136" t="s">
        <v>282</v>
      </c>
      <c r="J136" t="s">
        <v>185</v>
      </c>
    </row>
    <row r="137" spans="1:22" ht="39" x14ac:dyDescent="0.25">
      <c r="A137" s="2">
        <v>20136</v>
      </c>
      <c r="B137" s="1" t="s">
        <v>377</v>
      </c>
      <c r="C137" s="2">
        <v>15</v>
      </c>
      <c r="D137" t="s">
        <v>232</v>
      </c>
      <c r="E137" t="s">
        <v>177</v>
      </c>
      <c r="F137" t="s">
        <v>224</v>
      </c>
      <c r="G137" t="s">
        <v>149</v>
      </c>
      <c r="H137" t="s">
        <v>115</v>
      </c>
      <c r="I137" t="s">
        <v>66</v>
      </c>
      <c r="J137" t="s">
        <v>84</v>
      </c>
      <c r="K137" t="s">
        <v>282</v>
      </c>
      <c r="L137" t="s">
        <v>378</v>
      </c>
      <c r="M137" t="s">
        <v>193</v>
      </c>
      <c r="N137" t="s">
        <v>181</v>
      </c>
      <c r="O137" t="s">
        <v>130</v>
      </c>
      <c r="P137" t="s">
        <v>379</v>
      </c>
      <c r="Q137" t="s">
        <v>308</v>
      </c>
      <c r="R137" t="s">
        <v>135</v>
      </c>
    </row>
    <row r="138" spans="1:22" x14ac:dyDescent="0.25">
      <c r="A138" s="2">
        <v>20137</v>
      </c>
      <c r="B138" s="1" t="s">
        <v>380</v>
      </c>
      <c r="C138" s="2">
        <v>6</v>
      </c>
      <c r="D138" t="s">
        <v>65</v>
      </c>
      <c r="E138" t="s">
        <v>64</v>
      </c>
      <c r="F138" t="s">
        <v>381</v>
      </c>
      <c r="G138" t="s">
        <v>224</v>
      </c>
      <c r="H138" t="s">
        <v>95</v>
      </c>
      <c r="I138" t="s">
        <v>250</v>
      </c>
    </row>
    <row r="139" spans="1:22" x14ac:dyDescent="0.25">
      <c r="A139" s="2" t="s">
        <v>46</v>
      </c>
      <c r="B139" s="1" t="s">
        <v>382</v>
      </c>
      <c r="C139" s="1">
        <v>5</v>
      </c>
      <c r="D139" t="s">
        <v>67</v>
      </c>
      <c r="E139" t="s">
        <v>64</v>
      </c>
      <c r="F139" t="s">
        <v>65</v>
      </c>
      <c r="G139" t="s">
        <v>127</v>
      </c>
      <c r="H139" t="s">
        <v>95</v>
      </c>
    </row>
    <row r="140" spans="1:22" x14ac:dyDescent="0.25">
      <c r="A140" s="2" t="s">
        <v>50</v>
      </c>
      <c r="B140" s="1" t="s">
        <v>383</v>
      </c>
      <c r="C140" s="1">
        <v>5</v>
      </c>
      <c r="D140" t="s">
        <v>89</v>
      </c>
      <c r="E140" t="s">
        <v>127</v>
      </c>
      <c r="F140" t="s">
        <v>169</v>
      </c>
      <c r="G140" t="s">
        <v>72</v>
      </c>
      <c r="H140" t="s">
        <v>115</v>
      </c>
    </row>
    <row r="141" spans="1:22" x14ac:dyDescent="0.25">
      <c r="A141" s="2" t="s">
        <v>59</v>
      </c>
      <c r="B141" s="1" t="s">
        <v>384</v>
      </c>
      <c r="C141" s="2">
        <v>5</v>
      </c>
      <c r="D141" t="s">
        <v>89</v>
      </c>
      <c r="E141" t="s">
        <v>65</v>
      </c>
      <c r="F141" t="s">
        <v>81</v>
      </c>
      <c r="G141" t="s">
        <v>115</v>
      </c>
      <c r="H141" t="s">
        <v>72</v>
      </c>
    </row>
    <row r="142" spans="1:22" x14ac:dyDescent="0.25">
      <c r="A142" s="1"/>
      <c r="B142" s="1"/>
      <c r="C142" s="2"/>
    </row>
    <row r="143" spans="1:22" x14ac:dyDescent="0.25">
      <c r="A143" s="2"/>
      <c r="B143" s="1"/>
      <c r="C143" s="2"/>
    </row>
    <row r="144" spans="1:22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1"/>
      <c r="C149" s="2"/>
    </row>
    <row r="150" spans="2:3" x14ac:dyDescent="0.25">
      <c r="B150" s="1"/>
      <c r="C150" s="2"/>
    </row>
    <row r="151" spans="2:3" x14ac:dyDescent="0.25">
      <c r="B151" s="1"/>
      <c r="C151" s="2"/>
    </row>
    <row r="152" spans="2:3" x14ac:dyDescent="0.25">
      <c r="B152" s="1"/>
      <c r="C152" s="2"/>
    </row>
    <row r="153" spans="2:3" x14ac:dyDescent="0.25">
      <c r="B153" s="1"/>
      <c r="C153" s="2"/>
    </row>
    <row r="154" spans="2:3" x14ac:dyDescent="0.25">
      <c r="B154" s="1"/>
      <c r="C154" s="2"/>
    </row>
    <row r="155" spans="2:3" x14ac:dyDescent="0.25">
      <c r="B155" s="1"/>
      <c r="C155" s="2"/>
    </row>
    <row r="156" spans="2:3" x14ac:dyDescent="0.25">
      <c r="B156" s="1"/>
      <c r="C156" s="2"/>
    </row>
    <row r="157" spans="2:3" x14ac:dyDescent="0.25">
      <c r="B157" s="1"/>
      <c r="C157" s="2"/>
    </row>
    <row r="158" spans="2:3" x14ac:dyDescent="0.25">
      <c r="B158" s="1"/>
      <c r="C158" s="2"/>
    </row>
    <row r="159" spans="2:3" x14ac:dyDescent="0.25">
      <c r="B159" s="1"/>
      <c r="C159" s="2"/>
    </row>
    <row r="160" spans="2:3" x14ac:dyDescent="0.25">
      <c r="B160" s="1"/>
      <c r="C160" s="2"/>
    </row>
    <row r="161" spans="2:3" x14ac:dyDescent="0.25">
      <c r="B161" s="1"/>
      <c r="C161" s="2"/>
    </row>
    <row r="162" spans="2:3" x14ac:dyDescent="0.25">
      <c r="B162" s="1"/>
      <c r="C162" s="2"/>
    </row>
    <row r="163" spans="2:3" x14ac:dyDescent="0.25">
      <c r="B163" s="1"/>
      <c r="C163" s="2"/>
    </row>
    <row r="164" spans="2:3" x14ac:dyDescent="0.25">
      <c r="B164" s="1"/>
      <c r="C164" s="2"/>
    </row>
    <row r="165" spans="2:3" x14ac:dyDescent="0.25">
      <c r="B165" s="1"/>
      <c r="C165" s="2"/>
    </row>
    <row r="166" spans="2:3" x14ac:dyDescent="0.25">
      <c r="B166" s="1"/>
      <c r="C166" s="2"/>
    </row>
    <row r="167" spans="2:3" x14ac:dyDescent="0.25">
      <c r="B167" s="1"/>
      <c r="C167" s="2"/>
    </row>
    <row r="168" spans="2:3" x14ac:dyDescent="0.25">
      <c r="B168" s="1"/>
      <c r="C168" s="2"/>
    </row>
    <row r="169" spans="2:3" x14ac:dyDescent="0.25">
      <c r="B169" s="1"/>
      <c r="C169" s="2"/>
    </row>
    <row r="170" spans="2:3" x14ac:dyDescent="0.25">
      <c r="B170" s="1"/>
      <c r="C170" s="2"/>
    </row>
    <row r="171" spans="2:3" x14ac:dyDescent="0.25">
      <c r="B171" s="1"/>
      <c r="C171" s="2"/>
    </row>
    <row r="172" spans="2:3" x14ac:dyDescent="0.25">
      <c r="B172" s="1"/>
      <c r="C172" s="2"/>
    </row>
    <row r="173" spans="2:3" x14ac:dyDescent="0.25">
      <c r="B173" s="1"/>
      <c r="C173" s="2"/>
    </row>
    <row r="174" spans="2:3" x14ac:dyDescent="0.25">
      <c r="B174" s="1"/>
      <c r="C174" s="2"/>
    </row>
  </sheetData>
  <autoFilter ref="A1:W174" xr:uid="{A165BE58-955E-4CC6-B7B2-E898A73EE8E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7A29-4AB5-4465-A53F-68C8A56C7F7D}">
  <dimension ref="A1:V174"/>
  <sheetViews>
    <sheetView workbookViewId="0">
      <selection sqref="A1:XFD1048576"/>
    </sheetView>
  </sheetViews>
  <sheetFormatPr defaultRowHeight="15" x14ac:dyDescent="0.25"/>
  <cols>
    <col min="1" max="1" width="19.85546875" customWidth="1"/>
    <col min="2" max="2" width="8.42578125" customWidth="1"/>
    <col min="3" max="3" width="10.42578125" customWidth="1"/>
    <col min="4" max="6" width="10.140625" customWidth="1"/>
    <col min="7" max="7" width="11.5703125" customWidth="1"/>
    <col min="8" max="22" width="10.140625" customWidth="1"/>
  </cols>
  <sheetData>
    <row r="1" spans="1:22" x14ac:dyDescent="0.25">
      <c r="A1" s="1" t="s">
        <v>385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</row>
    <row r="2" spans="1:22" x14ac:dyDescent="0.25">
      <c r="A2" s="2">
        <v>20001</v>
      </c>
      <c r="B2" s="1" t="s">
        <v>386</v>
      </c>
      <c r="C2" t="s">
        <v>64</v>
      </c>
      <c r="D2" t="s">
        <v>65</v>
      </c>
      <c r="E2" t="s">
        <v>66</v>
      </c>
      <c r="F2" t="s">
        <v>67</v>
      </c>
    </row>
    <row r="3" spans="1:22" x14ac:dyDescent="0.25">
      <c r="A3" s="2">
        <v>20002</v>
      </c>
      <c r="B3" s="1" t="s">
        <v>386</v>
      </c>
      <c r="C3" t="s">
        <v>64</v>
      </c>
      <c r="D3" t="s">
        <v>65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</row>
    <row r="4" spans="1:22" x14ac:dyDescent="0.25">
      <c r="A4" s="2">
        <v>20003</v>
      </c>
      <c r="B4" s="1" t="s">
        <v>386</v>
      </c>
      <c r="C4" t="s">
        <v>64</v>
      </c>
      <c r="D4" t="s">
        <v>65</v>
      </c>
      <c r="E4" t="s">
        <v>80</v>
      </c>
      <c r="F4" t="s">
        <v>81</v>
      </c>
      <c r="G4" t="s">
        <v>82</v>
      </c>
      <c r="H4" t="s">
        <v>83</v>
      </c>
      <c r="I4" t="s">
        <v>66</v>
      </c>
      <c r="J4" t="s">
        <v>84</v>
      </c>
      <c r="K4" t="s">
        <v>85</v>
      </c>
      <c r="L4" t="s">
        <v>74</v>
      </c>
      <c r="M4" t="s">
        <v>86</v>
      </c>
      <c r="N4" t="s">
        <v>87</v>
      </c>
      <c r="O4" t="s">
        <v>88</v>
      </c>
      <c r="P4" t="s">
        <v>89</v>
      </c>
    </row>
    <row r="5" spans="1:22" x14ac:dyDescent="0.25">
      <c r="A5" s="2">
        <v>20004</v>
      </c>
      <c r="B5" s="1" t="s">
        <v>386</v>
      </c>
      <c r="C5" t="s">
        <v>64</v>
      </c>
      <c r="D5" t="s">
        <v>65</v>
      </c>
      <c r="E5" t="s">
        <v>67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</row>
    <row r="6" spans="1:22" x14ac:dyDescent="0.25">
      <c r="A6" s="2">
        <v>20005</v>
      </c>
      <c r="B6" s="1" t="s">
        <v>386</v>
      </c>
      <c r="C6" t="s">
        <v>89</v>
      </c>
      <c r="D6" t="s">
        <v>97</v>
      </c>
      <c r="E6" t="s">
        <v>98</v>
      </c>
      <c r="F6" t="s">
        <v>99</v>
      </c>
      <c r="G6" t="s">
        <v>84</v>
      </c>
      <c r="H6" t="s">
        <v>91</v>
      </c>
      <c r="I6" t="s">
        <v>100</v>
      </c>
    </row>
    <row r="7" spans="1:22" x14ac:dyDescent="0.25">
      <c r="A7" s="2">
        <v>20006</v>
      </c>
      <c r="B7" s="1" t="s">
        <v>386</v>
      </c>
      <c r="C7" t="s">
        <v>71</v>
      </c>
      <c r="D7" t="s">
        <v>65</v>
      </c>
      <c r="E7" t="s">
        <v>64</v>
      </c>
      <c r="F7" t="s">
        <v>100</v>
      </c>
      <c r="G7" t="s">
        <v>102</v>
      </c>
      <c r="H7" t="s">
        <v>103</v>
      </c>
      <c r="I7" t="s">
        <v>83</v>
      </c>
      <c r="J7" t="s">
        <v>85</v>
      </c>
      <c r="K7" t="s">
        <v>104</v>
      </c>
      <c r="L7" t="s">
        <v>87</v>
      </c>
      <c r="M7" t="s">
        <v>67</v>
      </c>
      <c r="N7" t="s">
        <v>91</v>
      </c>
      <c r="O7" t="s">
        <v>72</v>
      </c>
      <c r="P7" t="s">
        <v>105</v>
      </c>
    </row>
    <row r="8" spans="1:22" x14ac:dyDescent="0.25">
      <c r="A8" s="2">
        <v>20007</v>
      </c>
      <c r="B8" s="1" t="s">
        <v>386</v>
      </c>
      <c r="C8" s="2" t="s">
        <v>91</v>
      </c>
      <c r="D8" t="s">
        <v>84</v>
      </c>
      <c r="E8" t="s">
        <v>88</v>
      </c>
      <c r="F8" t="s">
        <v>64</v>
      </c>
      <c r="G8" t="s">
        <v>65</v>
      </c>
      <c r="H8" t="s">
        <v>80</v>
      </c>
      <c r="I8" t="s">
        <v>107</v>
      </c>
      <c r="J8" t="s">
        <v>85</v>
      </c>
      <c r="K8" t="s">
        <v>74</v>
      </c>
      <c r="L8" t="s">
        <v>108</v>
      </c>
    </row>
    <row r="9" spans="1:22" x14ac:dyDescent="0.25">
      <c r="A9" s="2">
        <v>20008</v>
      </c>
      <c r="B9" s="1" t="s">
        <v>386</v>
      </c>
      <c r="C9" t="s">
        <v>110</v>
      </c>
      <c r="D9" t="s">
        <v>111</v>
      </c>
      <c r="E9" t="s">
        <v>94</v>
      </c>
      <c r="F9" t="s">
        <v>93</v>
      </c>
      <c r="G9" t="s">
        <v>85</v>
      </c>
      <c r="H9" t="s">
        <v>95</v>
      </c>
    </row>
    <row r="10" spans="1:22" x14ac:dyDescent="0.25">
      <c r="A10" s="2">
        <v>20009</v>
      </c>
      <c r="B10" s="1" t="s">
        <v>386</v>
      </c>
      <c r="C10" t="s">
        <v>113</v>
      </c>
      <c r="D10" t="s">
        <v>80</v>
      </c>
      <c r="E10" t="s">
        <v>114</v>
      </c>
      <c r="F10" t="s">
        <v>115</v>
      </c>
      <c r="G10" t="s">
        <v>66</v>
      </c>
      <c r="H10" t="s">
        <v>91</v>
      </c>
      <c r="I10" t="s">
        <v>67</v>
      </c>
      <c r="J10" t="s">
        <v>116</v>
      </c>
      <c r="K10" t="s">
        <v>117</v>
      </c>
      <c r="L10" t="s">
        <v>92</v>
      </c>
      <c r="M10" t="s">
        <v>64</v>
      </c>
      <c r="N10" t="s">
        <v>118</v>
      </c>
    </row>
    <row r="11" spans="1:22" x14ac:dyDescent="0.25">
      <c r="A11" s="2">
        <v>20010</v>
      </c>
      <c r="B11" s="1" t="s">
        <v>386</v>
      </c>
      <c r="C11" t="s">
        <v>66</v>
      </c>
      <c r="D11" t="s">
        <v>88</v>
      </c>
      <c r="E11" t="s">
        <v>120</v>
      </c>
      <c r="F11" t="s">
        <v>89</v>
      </c>
      <c r="G11" t="s">
        <v>103</v>
      </c>
      <c r="H11" t="s">
        <v>64</v>
      </c>
      <c r="I11" t="s">
        <v>65</v>
      </c>
      <c r="J11" t="s">
        <v>121</v>
      </c>
      <c r="K11" t="s">
        <v>122</v>
      </c>
      <c r="L11" t="s">
        <v>123</v>
      </c>
    </row>
    <row r="12" spans="1:22" x14ac:dyDescent="0.25">
      <c r="A12" s="2">
        <v>20011</v>
      </c>
      <c r="B12" s="1" t="s">
        <v>386</v>
      </c>
      <c r="C12" t="s">
        <v>65</v>
      </c>
      <c r="D12" t="s">
        <v>64</v>
      </c>
      <c r="E12" t="s">
        <v>67</v>
      </c>
      <c r="F12" t="s">
        <v>120</v>
      </c>
    </row>
    <row r="13" spans="1:22" x14ac:dyDescent="0.25">
      <c r="A13" s="2">
        <v>20012</v>
      </c>
      <c r="B13" s="1" t="s">
        <v>386</v>
      </c>
      <c r="C13" t="s">
        <v>65</v>
      </c>
      <c r="D13" t="s">
        <v>64</v>
      </c>
      <c r="E13" t="s">
        <v>71</v>
      </c>
      <c r="F13" t="s">
        <v>126</v>
      </c>
      <c r="G13" t="s">
        <v>67</v>
      </c>
      <c r="H13" t="s">
        <v>127</v>
      </c>
      <c r="I13" t="s">
        <v>128</v>
      </c>
      <c r="J13" t="s">
        <v>120</v>
      </c>
      <c r="K13" t="s">
        <v>88</v>
      </c>
      <c r="L13" t="s">
        <v>129</v>
      </c>
      <c r="M13" t="s">
        <v>99</v>
      </c>
      <c r="N13" t="s">
        <v>130</v>
      </c>
      <c r="O13" t="s">
        <v>84</v>
      </c>
      <c r="P13" t="s">
        <v>131</v>
      </c>
      <c r="Q13" t="s">
        <v>100</v>
      </c>
    </row>
    <row r="14" spans="1:22" x14ac:dyDescent="0.25">
      <c r="A14" s="2">
        <v>20013</v>
      </c>
      <c r="B14" s="1" t="s">
        <v>386</v>
      </c>
      <c r="C14" t="s">
        <v>64</v>
      </c>
      <c r="D14" t="s">
        <v>65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95</v>
      </c>
      <c r="K14" t="s">
        <v>138</v>
      </c>
      <c r="L14" t="s">
        <v>139</v>
      </c>
      <c r="M14" t="s">
        <v>140</v>
      </c>
      <c r="N14" t="s">
        <v>123</v>
      </c>
    </row>
    <row r="15" spans="1:22" x14ac:dyDescent="0.25">
      <c r="A15" s="2">
        <v>20014</v>
      </c>
      <c r="B15" s="1" t="s">
        <v>386</v>
      </c>
      <c r="C15" t="s">
        <v>64</v>
      </c>
      <c r="D15" t="s">
        <v>65</v>
      </c>
      <c r="E15" t="s">
        <v>142</v>
      </c>
      <c r="F15" t="s">
        <v>143</v>
      </c>
      <c r="G15" t="s">
        <v>144</v>
      </c>
      <c r="H15" t="s">
        <v>123</v>
      </c>
      <c r="I15" t="s">
        <v>100</v>
      </c>
      <c r="J15" t="s">
        <v>92</v>
      </c>
      <c r="K15" t="s">
        <v>135</v>
      </c>
      <c r="L15" t="s">
        <v>145</v>
      </c>
      <c r="M15" t="s">
        <v>72</v>
      </c>
    </row>
    <row r="16" spans="1:22" x14ac:dyDescent="0.25">
      <c r="A16" s="2">
        <v>20015</v>
      </c>
      <c r="B16" s="1" t="s">
        <v>386</v>
      </c>
      <c r="C16" t="s">
        <v>89</v>
      </c>
      <c r="D16" t="s">
        <v>67</v>
      </c>
      <c r="E16" t="s">
        <v>147</v>
      </c>
      <c r="F16" t="s">
        <v>116</v>
      </c>
      <c r="G16" t="s">
        <v>74</v>
      </c>
      <c r="H16" t="s">
        <v>88</v>
      </c>
      <c r="I16" t="s">
        <v>94</v>
      </c>
      <c r="J16" t="s">
        <v>71</v>
      </c>
      <c r="K16" t="s">
        <v>72</v>
      </c>
      <c r="L16" t="s">
        <v>92</v>
      </c>
      <c r="M16" t="s">
        <v>148</v>
      </c>
      <c r="N16" t="s">
        <v>149</v>
      </c>
      <c r="O16" t="s">
        <v>150</v>
      </c>
      <c r="P16" t="s">
        <v>151</v>
      </c>
      <c r="Q16" t="s">
        <v>91</v>
      </c>
    </row>
    <row r="17" spans="1:22" x14ac:dyDescent="0.25">
      <c r="A17" s="2">
        <v>20016</v>
      </c>
      <c r="B17" s="1" t="s">
        <v>386</v>
      </c>
      <c r="C17" t="s">
        <v>91</v>
      </c>
      <c r="D17" t="s">
        <v>67</v>
      </c>
      <c r="E17" t="s">
        <v>82</v>
      </c>
      <c r="F17" t="s">
        <v>153</v>
      </c>
      <c r="G17" t="s">
        <v>150</v>
      </c>
      <c r="H17" t="s">
        <v>149</v>
      </c>
      <c r="I17" t="s">
        <v>154</v>
      </c>
      <c r="J17" t="s">
        <v>155</v>
      </c>
      <c r="K17" t="s">
        <v>83</v>
      </c>
      <c r="L17" t="s">
        <v>156</v>
      </c>
      <c r="M17" t="s">
        <v>157</v>
      </c>
      <c r="N17" t="s">
        <v>158</v>
      </c>
      <c r="O17" t="s">
        <v>126</v>
      </c>
      <c r="P17" t="s">
        <v>100</v>
      </c>
      <c r="Q17" t="s">
        <v>92</v>
      </c>
      <c r="R17" t="s">
        <v>71</v>
      </c>
      <c r="S17" t="s">
        <v>159</v>
      </c>
    </row>
    <row r="18" spans="1:22" x14ac:dyDescent="0.25">
      <c r="A18" s="2">
        <v>20017</v>
      </c>
      <c r="B18" s="1" t="s">
        <v>386</v>
      </c>
      <c r="C18" t="s">
        <v>65</v>
      </c>
      <c r="D18" t="s">
        <v>80</v>
      </c>
      <c r="E18" t="s">
        <v>84</v>
      </c>
      <c r="F18" t="s">
        <v>67</v>
      </c>
      <c r="G18" t="s">
        <v>91</v>
      </c>
      <c r="H18" t="s">
        <v>127</v>
      </c>
      <c r="I18" t="s">
        <v>88</v>
      </c>
      <c r="J18" t="s">
        <v>66</v>
      </c>
      <c r="K18" t="s">
        <v>161</v>
      </c>
    </row>
    <row r="19" spans="1:22" x14ac:dyDescent="0.25">
      <c r="A19" s="2">
        <v>20018</v>
      </c>
      <c r="B19" s="1" t="s">
        <v>386</v>
      </c>
      <c r="C19" t="s">
        <v>65</v>
      </c>
      <c r="D19" t="s">
        <v>64</v>
      </c>
      <c r="E19" t="s">
        <v>66</v>
      </c>
      <c r="F19" t="s">
        <v>67</v>
      </c>
      <c r="G19" t="s">
        <v>163</v>
      </c>
      <c r="H19" t="s">
        <v>164</v>
      </c>
      <c r="I19" t="s">
        <v>126</v>
      </c>
      <c r="J19" t="s">
        <v>165</v>
      </c>
      <c r="K19" t="s">
        <v>84</v>
      </c>
      <c r="L19" t="s">
        <v>166</v>
      </c>
      <c r="M19" t="s">
        <v>167</v>
      </c>
      <c r="N19" t="s">
        <v>168</v>
      </c>
      <c r="O19" t="s">
        <v>116</v>
      </c>
      <c r="P19" t="s">
        <v>91</v>
      </c>
      <c r="Q19" t="s">
        <v>169</v>
      </c>
      <c r="R19" t="s">
        <v>82</v>
      </c>
      <c r="S19" t="s">
        <v>121</v>
      </c>
      <c r="T19" t="s">
        <v>110</v>
      </c>
      <c r="U19" t="s">
        <v>98</v>
      </c>
      <c r="V19" t="s">
        <v>88</v>
      </c>
    </row>
    <row r="20" spans="1:22" x14ac:dyDescent="0.25">
      <c r="A20" s="2">
        <v>20019</v>
      </c>
      <c r="B20" s="1" t="s">
        <v>386</v>
      </c>
      <c r="C20" t="s">
        <v>171</v>
      </c>
      <c r="D20" t="s">
        <v>87</v>
      </c>
      <c r="E20" t="s">
        <v>92</v>
      </c>
      <c r="F20" t="s">
        <v>71</v>
      </c>
      <c r="G20" t="s">
        <v>72</v>
      </c>
      <c r="H20" t="s">
        <v>65</v>
      </c>
      <c r="I20" t="s">
        <v>172</v>
      </c>
      <c r="J20" t="s">
        <v>83</v>
      </c>
    </row>
    <row r="21" spans="1:22" x14ac:dyDescent="0.25">
      <c r="A21" s="2">
        <v>20020</v>
      </c>
      <c r="B21" s="1" t="s">
        <v>386</v>
      </c>
      <c r="C21" t="s">
        <v>172</v>
      </c>
      <c r="D21" t="s">
        <v>81</v>
      </c>
      <c r="E21" t="s">
        <v>64</v>
      </c>
      <c r="F21" t="s">
        <v>65</v>
      </c>
      <c r="G21" t="s">
        <v>116</v>
      </c>
      <c r="H21" t="s">
        <v>67</v>
      </c>
      <c r="I21" t="s">
        <v>91</v>
      </c>
    </row>
    <row r="22" spans="1:22" x14ac:dyDescent="0.25">
      <c r="A22" s="2">
        <v>20021</v>
      </c>
      <c r="B22" s="1" t="s">
        <v>386</v>
      </c>
    </row>
    <row r="23" spans="1:22" x14ac:dyDescent="0.25">
      <c r="A23" s="2">
        <v>20022</v>
      </c>
      <c r="B23" s="1" t="s">
        <v>386</v>
      </c>
      <c r="C23" t="s">
        <v>65</v>
      </c>
      <c r="D23" t="s">
        <v>121</v>
      </c>
      <c r="E23" t="s">
        <v>135</v>
      </c>
      <c r="F23" t="s">
        <v>134</v>
      </c>
    </row>
    <row r="24" spans="1:22" x14ac:dyDescent="0.25">
      <c r="A24" s="2">
        <v>20023</v>
      </c>
      <c r="B24" s="1" t="s">
        <v>386</v>
      </c>
      <c r="C24" t="s">
        <v>177</v>
      </c>
      <c r="D24" t="s">
        <v>67</v>
      </c>
      <c r="E24" t="s">
        <v>84</v>
      </c>
      <c r="F24" t="s">
        <v>82</v>
      </c>
      <c r="G24" t="s">
        <v>66</v>
      </c>
      <c r="H24" t="s">
        <v>116</v>
      </c>
      <c r="I24" t="s">
        <v>95</v>
      </c>
      <c r="J24" t="s">
        <v>138</v>
      </c>
      <c r="K24" t="s">
        <v>126</v>
      </c>
      <c r="L24" t="s">
        <v>93</v>
      </c>
    </row>
    <row r="25" spans="1:22" x14ac:dyDescent="0.25">
      <c r="A25" s="2">
        <v>20024</v>
      </c>
      <c r="B25" s="1" t="s">
        <v>386</v>
      </c>
      <c r="C25" t="s">
        <v>64</v>
      </c>
      <c r="D25" t="s">
        <v>65</v>
      </c>
      <c r="E25" t="s">
        <v>179</v>
      </c>
      <c r="F25" t="s">
        <v>149</v>
      </c>
      <c r="G25" t="s">
        <v>89</v>
      </c>
      <c r="H25" t="s">
        <v>66</v>
      </c>
      <c r="I25" t="s">
        <v>86</v>
      </c>
      <c r="J25" t="s">
        <v>84</v>
      </c>
      <c r="K25" t="s">
        <v>88</v>
      </c>
      <c r="L25" t="s">
        <v>180</v>
      </c>
      <c r="M25" t="s">
        <v>181</v>
      </c>
      <c r="N25" t="s">
        <v>92</v>
      </c>
      <c r="O25" t="s">
        <v>71</v>
      </c>
      <c r="P25" t="s">
        <v>182</v>
      </c>
    </row>
    <row r="26" spans="1:22" x14ac:dyDescent="0.25">
      <c r="A26" s="2">
        <v>20025</v>
      </c>
      <c r="B26" s="1" t="s">
        <v>386</v>
      </c>
      <c r="C26" t="s">
        <v>92</v>
      </c>
      <c r="D26" t="s">
        <v>64</v>
      </c>
      <c r="E26" t="s">
        <v>65</v>
      </c>
      <c r="F26" t="s">
        <v>67</v>
      </c>
      <c r="G26" t="s">
        <v>116</v>
      </c>
      <c r="H26" t="s">
        <v>66</v>
      </c>
      <c r="I26" t="s">
        <v>184</v>
      </c>
      <c r="J26" t="s">
        <v>150</v>
      </c>
      <c r="K26" t="s">
        <v>126</v>
      </c>
      <c r="L26" t="s">
        <v>72</v>
      </c>
      <c r="M26" t="s">
        <v>147</v>
      </c>
      <c r="N26" t="s">
        <v>120</v>
      </c>
      <c r="O26" t="s">
        <v>185</v>
      </c>
      <c r="P26" t="s">
        <v>186</v>
      </c>
      <c r="Q26" t="s">
        <v>187</v>
      </c>
    </row>
    <row r="27" spans="1:22" x14ac:dyDescent="0.25">
      <c r="A27" s="2">
        <v>20026</v>
      </c>
      <c r="B27" s="1" t="s">
        <v>386</v>
      </c>
      <c r="C27" t="s">
        <v>84</v>
      </c>
      <c r="D27" t="s">
        <v>67</v>
      </c>
      <c r="E27" t="s">
        <v>91</v>
      </c>
      <c r="F27" t="s">
        <v>65</v>
      </c>
      <c r="G27" t="s">
        <v>189</v>
      </c>
    </row>
    <row r="28" spans="1:22" x14ac:dyDescent="0.25">
      <c r="A28" s="2">
        <v>20027</v>
      </c>
      <c r="B28" s="1" t="s">
        <v>386</v>
      </c>
      <c r="C28" t="s">
        <v>64</v>
      </c>
      <c r="D28" t="s">
        <v>65</v>
      </c>
      <c r="E28" t="s">
        <v>72</v>
      </c>
      <c r="F28" t="s">
        <v>71</v>
      </c>
      <c r="G28" t="s">
        <v>74</v>
      </c>
      <c r="H28" t="s">
        <v>92</v>
      </c>
      <c r="I28" t="s">
        <v>81</v>
      </c>
      <c r="J28" t="s">
        <v>93</v>
      </c>
    </row>
    <row r="29" spans="1:22" x14ac:dyDescent="0.25">
      <c r="A29" s="2">
        <v>20028</v>
      </c>
      <c r="B29" s="1" t="s">
        <v>386</v>
      </c>
      <c r="C29" t="s">
        <v>65</v>
      </c>
      <c r="D29" t="s">
        <v>121</v>
      </c>
      <c r="E29" t="s">
        <v>134</v>
      </c>
      <c r="F29" t="s">
        <v>192</v>
      </c>
      <c r="G29" t="s">
        <v>193</v>
      </c>
      <c r="H29" t="s">
        <v>194</v>
      </c>
      <c r="I29" t="s">
        <v>84</v>
      </c>
    </row>
    <row r="30" spans="1:22" x14ac:dyDescent="0.25">
      <c r="A30" s="2">
        <v>20029</v>
      </c>
      <c r="B30" s="1" t="s">
        <v>386</v>
      </c>
      <c r="C30" t="s">
        <v>71</v>
      </c>
      <c r="D30" t="s">
        <v>92</v>
      </c>
      <c r="E30" t="s">
        <v>65</v>
      </c>
      <c r="F30" t="s">
        <v>88</v>
      </c>
      <c r="G30" t="s">
        <v>196</v>
      </c>
      <c r="H30" t="s">
        <v>91</v>
      </c>
      <c r="I30" t="s">
        <v>67</v>
      </c>
      <c r="J30" t="s">
        <v>64</v>
      </c>
      <c r="K30" t="s">
        <v>110</v>
      </c>
    </row>
    <row r="31" spans="1:22" x14ac:dyDescent="0.25">
      <c r="A31" s="2">
        <v>20030</v>
      </c>
      <c r="B31" s="1" t="s">
        <v>386</v>
      </c>
      <c r="C31" t="s">
        <v>65</v>
      </c>
      <c r="D31" t="s">
        <v>121</v>
      </c>
      <c r="E31" t="s">
        <v>66</v>
      </c>
      <c r="F31" t="s">
        <v>116</v>
      </c>
      <c r="G31" t="s">
        <v>98</v>
      </c>
      <c r="H31" t="s">
        <v>86</v>
      </c>
      <c r="I31" t="s">
        <v>93</v>
      </c>
      <c r="J31" t="s">
        <v>88</v>
      </c>
      <c r="K31" t="s">
        <v>123</v>
      </c>
      <c r="L31" t="s">
        <v>94</v>
      </c>
    </row>
    <row r="32" spans="1:22" x14ac:dyDescent="0.25">
      <c r="A32" s="2">
        <v>20031</v>
      </c>
      <c r="B32" s="1" t="s">
        <v>386</v>
      </c>
      <c r="C32" t="s">
        <v>65</v>
      </c>
      <c r="D32" t="s">
        <v>64</v>
      </c>
      <c r="E32" t="s">
        <v>71</v>
      </c>
      <c r="F32" t="s">
        <v>92</v>
      </c>
      <c r="G32" t="s">
        <v>151</v>
      </c>
      <c r="H32" t="s">
        <v>179</v>
      </c>
      <c r="I32" t="s">
        <v>181</v>
      </c>
      <c r="J32" t="s">
        <v>67</v>
      </c>
      <c r="K32" t="s">
        <v>89</v>
      </c>
      <c r="L32" t="s">
        <v>91</v>
      </c>
      <c r="M32" t="s">
        <v>169</v>
      </c>
      <c r="N32" t="s">
        <v>199</v>
      </c>
      <c r="O32" t="s">
        <v>149</v>
      </c>
      <c r="P32" t="s">
        <v>150</v>
      </c>
      <c r="Q32" t="s">
        <v>66</v>
      </c>
      <c r="R32" t="s">
        <v>95</v>
      </c>
    </row>
    <row r="33" spans="1:18" x14ac:dyDescent="0.25">
      <c r="A33" s="2">
        <v>20032</v>
      </c>
      <c r="B33" s="1" t="s">
        <v>386</v>
      </c>
      <c r="C33" t="s">
        <v>64</v>
      </c>
      <c r="D33" t="s">
        <v>65</v>
      </c>
      <c r="E33" t="s">
        <v>156</v>
      </c>
      <c r="F33" t="s">
        <v>67</v>
      </c>
      <c r="G33" t="s">
        <v>91</v>
      </c>
      <c r="H33" t="s">
        <v>121</v>
      </c>
      <c r="I33" t="s">
        <v>88</v>
      </c>
      <c r="J33" t="s">
        <v>201</v>
      </c>
      <c r="K33" t="s">
        <v>202</v>
      </c>
      <c r="L33" t="s">
        <v>133</v>
      </c>
      <c r="M33" t="s">
        <v>92</v>
      </c>
      <c r="N33" t="s">
        <v>81</v>
      </c>
      <c r="O33" t="s">
        <v>203</v>
      </c>
    </row>
    <row r="34" spans="1:18" x14ac:dyDescent="0.25">
      <c r="A34" s="2">
        <v>20033</v>
      </c>
      <c r="B34" s="1" t="s">
        <v>386</v>
      </c>
      <c r="C34" t="s">
        <v>89</v>
      </c>
      <c r="D34" t="s">
        <v>67</v>
      </c>
      <c r="E34" t="s">
        <v>205</v>
      </c>
      <c r="F34" t="s">
        <v>66</v>
      </c>
      <c r="G34" t="s">
        <v>84</v>
      </c>
      <c r="H34" t="s">
        <v>91</v>
      </c>
      <c r="I34" t="s">
        <v>126</v>
      </c>
      <c r="J34" t="s">
        <v>116</v>
      </c>
      <c r="K34" t="s">
        <v>72</v>
      </c>
      <c r="L34" t="s">
        <v>71</v>
      </c>
      <c r="M34" t="s">
        <v>133</v>
      </c>
      <c r="N34" t="s">
        <v>64</v>
      </c>
      <c r="O34" t="s">
        <v>65</v>
      </c>
    </row>
    <row r="35" spans="1:18" x14ac:dyDescent="0.25">
      <c r="A35" s="2">
        <v>20034</v>
      </c>
      <c r="B35" s="1" t="s">
        <v>386</v>
      </c>
      <c r="C35" t="s">
        <v>65</v>
      </c>
      <c r="D35" t="s">
        <v>64</v>
      </c>
      <c r="E35" t="s">
        <v>207</v>
      </c>
      <c r="F35" t="s">
        <v>121</v>
      </c>
      <c r="G35" t="s">
        <v>91</v>
      </c>
      <c r="H35" t="s">
        <v>67</v>
      </c>
      <c r="I35" t="s">
        <v>89</v>
      </c>
      <c r="J35" t="s">
        <v>84</v>
      </c>
      <c r="K35" t="s">
        <v>85</v>
      </c>
      <c r="L35" t="s">
        <v>83</v>
      </c>
      <c r="M35" t="s">
        <v>74</v>
      </c>
      <c r="N35" t="s">
        <v>127</v>
      </c>
      <c r="O35" t="s">
        <v>88</v>
      </c>
      <c r="P35" t="s">
        <v>120</v>
      </c>
      <c r="Q35" t="s">
        <v>208</v>
      </c>
      <c r="R35" t="s">
        <v>209</v>
      </c>
    </row>
    <row r="36" spans="1:18" x14ac:dyDescent="0.25">
      <c r="A36" s="2">
        <v>20035</v>
      </c>
      <c r="B36" s="1" t="s">
        <v>386</v>
      </c>
      <c r="C36" t="s">
        <v>71</v>
      </c>
      <c r="D36" t="s">
        <v>64</v>
      </c>
      <c r="E36" t="s">
        <v>67</v>
      </c>
    </row>
    <row r="37" spans="1:18" x14ac:dyDescent="0.25">
      <c r="A37" s="2">
        <v>20036</v>
      </c>
      <c r="B37" s="1" t="s">
        <v>386</v>
      </c>
      <c r="C37" t="s">
        <v>65</v>
      </c>
      <c r="D37" t="s">
        <v>156</v>
      </c>
      <c r="E37" t="s">
        <v>64</v>
      </c>
      <c r="F37" t="s">
        <v>150</v>
      </c>
      <c r="G37" t="s">
        <v>71</v>
      </c>
      <c r="H37" t="s">
        <v>74</v>
      </c>
      <c r="I37" t="s">
        <v>155</v>
      </c>
    </row>
    <row r="38" spans="1:18" x14ac:dyDescent="0.25">
      <c r="A38" s="2">
        <v>20037</v>
      </c>
      <c r="B38" s="1" t="s">
        <v>386</v>
      </c>
      <c r="C38" t="s">
        <v>95</v>
      </c>
      <c r="D38" t="s">
        <v>89</v>
      </c>
      <c r="E38" t="s">
        <v>72</v>
      </c>
    </row>
    <row r="39" spans="1:18" x14ac:dyDescent="0.25">
      <c r="A39" s="2">
        <v>20038</v>
      </c>
      <c r="B39" s="1" t="s">
        <v>386</v>
      </c>
      <c r="C39" t="s">
        <v>65</v>
      </c>
      <c r="D39" t="s">
        <v>92</v>
      </c>
      <c r="E39" t="s">
        <v>71</v>
      </c>
      <c r="F39" t="s">
        <v>91</v>
      </c>
      <c r="G39" t="s">
        <v>214</v>
      </c>
      <c r="H39" t="s">
        <v>81</v>
      </c>
      <c r="I39" t="s">
        <v>207</v>
      </c>
      <c r="J39" t="s">
        <v>95</v>
      </c>
      <c r="K39" t="s">
        <v>215</v>
      </c>
    </row>
    <row r="40" spans="1:18" x14ac:dyDescent="0.25">
      <c r="A40" s="2">
        <v>20039</v>
      </c>
      <c r="B40" s="1" t="s">
        <v>386</v>
      </c>
      <c r="C40" t="s">
        <v>208</v>
      </c>
      <c r="D40" t="s">
        <v>64</v>
      </c>
      <c r="E40" t="s">
        <v>65</v>
      </c>
      <c r="F40" t="s">
        <v>126</v>
      </c>
      <c r="G40" t="s">
        <v>100</v>
      </c>
      <c r="H40" t="s">
        <v>148</v>
      </c>
      <c r="I40" t="s">
        <v>134</v>
      </c>
      <c r="J40" t="s">
        <v>217</v>
      </c>
      <c r="K40" t="s">
        <v>199</v>
      </c>
      <c r="L40" t="s">
        <v>205</v>
      </c>
      <c r="M40" t="s">
        <v>150</v>
      </c>
      <c r="N40" t="s">
        <v>103</v>
      </c>
    </row>
    <row r="41" spans="1:18" x14ac:dyDescent="0.25">
      <c r="A41" s="2">
        <v>20040</v>
      </c>
      <c r="B41" s="1" t="s">
        <v>386</v>
      </c>
      <c r="C41" t="s">
        <v>64</v>
      </c>
      <c r="D41" t="s">
        <v>65</v>
      </c>
      <c r="E41" t="s">
        <v>194</v>
      </c>
      <c r="F41" t="s">
        <v>219</v>
      </c>
      <c r="G41" t="s">
        <v>185</v>
      </c>
      <c r="H41" t="s">
        <v>66</v>
      </c>
      <c r="I41" t="s">
        <v>71</v>
      </c>
      <c r="J41" t="s">
        <v>201</v>
      </c>
    </row>
    <row r="42" spans="1:18" x14ac:dyDescent="0.25">
      <c r="A42" s="2">
        <v>20041</v>
      </c>
      <c r="B42" s="1" t="s">
        <v>386</v>
      </c>
      <c r="C42" t="s">
        <v>65</v>
      </c>
      <c r="D42" t="s">
        <v>64</v>
      </c>
      <c r="E42" t="s">
        <v>221</v>
      </c>
      <c r="F42" t="s">
        <v>80</v>
      </c>
      <c r="G42" t="s">
        <v>91</v>
      </c>
      <c r="H42" t="s">
        <v>66</v>
      </c>
      <c r="I42" t="s">
        <v>88</v>
      </c>
      <c r="J42" t="s">
        <v>130</v>
      </c>
      <c r="K42" t="s">
        <v>94</v>
      </c>
      <c r="L42" t="s">
        <v>84</v>
      </c>
    </row>
    <row r="43" spans="1:18" x14ac:dyDescent="0.25">
      <c r="A43" s="2">
        <v>20042</v>
      </c>
      <c r="B43" s="1" t="s">
        <v>386</v>
      </c>
      <c r="C43" t="s">
        <v>223</v>
      </c>
      <c r="D43" t="s">
        <v>147</v>
      </c>
      <c r="E43" t="s">
        <v>224</v>
      </c>
    </row>
    <row r="44" spans="1:18" x14ac:dyDescent="0.25">
      <c r="A44" s="2">
        <v>20043</v>
      </c>
      <c r="B44" s="1" t="s">
        <v>386</v>
      </c>
      <c r="C44" t="s">
        <v>64</v>
      </c>
      <c r="D44" t="s">
        <v>65</v>
      </c>
      <c r="E44" t="s">
        <v>67</v>
      </c>
      <c r="F44" t="s">
        <v>117</v>
      </c>
    </row>
    <row r="45" spans="1:18" x14ac:dyDescent="0.25">
      <c r="A45" s="2">
        <v>20044</v>
      </c>
      <c r="B45" s="1" t="s">
        <v>386</v>
      </c>
      <c r="C45" t="s">
        <v>65</v>
      </c>
      <c r="D45" t="s">
        <v>227</v>
      </c>
      <c r="E45" t="s">
        <v>72</v>
      </c>
      <c r="F45" t="s">
        <v>73</v>
      </c>
      <c r="G45" t="s">
        <v>127</v>
      </c>
    </row>
    <row r="46" spans="1:18" x14ac:dyDescent="0.25">
      <c r="A46" s="2">
        <v>20045</v>
      </c>
      <c r="B46" s="1" t="s">
        <v>386</v>
      </c>
    </row>
    <row r="47" spans="1:18" x14ac:dyDescent="0.25">
      <c r="A47" s="2">
        <v>20046</v>
      </c>
      <c r="B47" s="1" t="s">
        <v>386</v>
      </c>
      <c r="C47" t="s">
        <v>72</v>
      </c>
      <c r="D47" t="s">
        <v>159</v>
      </c>
      <c r="E47" t="s">
        <v>64</v>
      </c>
      <c r="F47" t="s">
        <v>65</v>
      </c>
      <c r="G47" t="s">
        <v>71</v>
      </c>
      <c r="H47" t="s">
        <v>92</v>
      </c>
      <c r="I47" t="s">
        <v>89</v>
      </c>
      <c r="J47" t="s">
        <v>205</v>
      </c>
    </row>
    <row r="48" spans="1:18" x14ac:dyDescent="0.25">
      <c r="A48" s="2">
        <v>20047</v>
      </c>
      <c r="B48" s="1" t="s">
        <v>386</v>
      </c>
      <c r="C48" t="s">
        <v>65</v>
      </c>
      <c r="D48" t="s">
        <v>121</v>
      </c>
      <c r="E48" t="s">
        <v>64</v>
      </c>
      <c r="F48" t="s">
        <v>88</v>
      </c>
      <c r="G48" t="s">
        <v>74</v>
      </c>
      <c r="H48" t="s">
        <v>67</v>
      </c>
      <c r="I48" t="s">
        <v>66</v>
      </c>
      <c r="J48" t="s">
        <v>148</v>
      </c>
      <c r="K48" t="s">
        <v>192</v>
      </c>
    </row>
    <row r="49" spans="1:20" x14ac:dyDescent="0.25">
      <c r="A49" s="2">
        <v>20048</v>
      </c>
      <c r="B49" s="1" t="s">
        <v>386</v>
      </c>
    </row>
    <row r="50" spans="1:20" x14ac:dyDescent="0.25">
      <c r="A50" s="2">
        <v>20049</v>
      </c>
      <c r="B50" s="1" t="s">
        <v>386</v>
      </c>
      <c r="C50" t="s">
        <v>65</v>
      </c>
      <c r="D50" t="s">
        <v>232</v>
      </c>
      <c r="E50" t="s">
        <v>92</v>
      </c>
      <c r="F50" t="s">
        <v>67</v>
      </c>
      <c r="G50" t="s">
        <v>84</v>
      </c>
      <c r="H50" t="s">
        <v>82</v>
      </c>
      <c r="I50" t="s">
        <v>87</v>
      </c>
      <c r="J50" t="s">
        <v>95</v>
      </c>
      <c r="K50" t="s">
        <v>126</v>
      </c>
      <c r="L50" t="s">
        <v>66</v>
      </c>
    </row>
    <row r="51" spans="1:20" x14ac:dyDescent="0.25">
      <c r="A51" s="2">
        <v>20050</v>
      </c>
      <c r="B51" s="1" t="s">
        <v>386</v>
      </c>
      <c r="C51" t="s">
        <v>64</v>
      </c>
      <c r="D51" t="s">
        <v>65</v>
      </c>
      <c r="E51" t="s">
        <v>71</v>
      </c>
      <c r="F51" t="s">
        <v>72</v>
      </c>
      <c r="G51" t="s">
        <v>92</v>
      </c>
      <c r="H51" t="s">
        <v>116</v>
      </c>
      <c r="I51" t="s">
        <v>67</v>
      </c>
      <c r="J51" t="s">
        <v>91</v>
      </c>
      <c r="K51" t="s">
        <v>66</v>
      </c>
      <c r="L51" t="s">
        <v>86</v>
      </c>
      <c r="M51" t="s">
        <v>84</v>
      </c>
      <c r="N51" t="s">
        <v>181</v>
      </c>
      <c r="O51" t="s">
        <v>85</v>
      </c>
      <c r="P51" t="s">
        <v>234</v>
      </c>
    </row>
    <row r="52" spans="1:20" x14ac:dyDescent="0.25">
      <c r="A52" s="2">
        <v>20051</v>
      </c>
      <c r="B52" s="1" t="s">
        <v>386</v>
      </c>
      <c r="C52" t="s">
        <v>65</v>
      </c>
      <c r="D52" t="s">
        <v>64</v>
      </c>
      <c r="E52" t="s">
        <v>80</v>
      </c>
      <c r="F52" t="s">
        <v>71</v>
      </c>
      <c r="G52" t="s">
        <v>67</v>
      </c>
      <c r="H52" t="s">
        <v>91</v>
      </c>
      <c r="I52" t="s">
        <v>179</v>
      </c>
      <c r="J52" t="s">
        <v>121</v>
      </c>
      <c r="K52" t="s">
        <v>236</v>
      </c>
    </row>
    <row r="53" spans="1:20" x14ac:dyDescent="0.25">
      <c r="A53" s="2">
        <v>20052</v>
      </c>
      <c r="B53" s="1" t="s">
        <v>386</v>
      </c>
      <c r="C53" t="s">
        <v>65</v>
      </c>
      <c r="D53" t="s">
        <v>64</v>
      </c>
      <c r="E53" t="s">
        <v>121</v>
      </c>
      <c r="F53" t="s">
        <v>74</v>
      </c>
      <c r="G53" t="s">
        <v>217</v>
      </c>
      <c r="H53" t="s">
        <v>238</v>
      </c>
      <c r="I53" t="s">
        <v>239</v>
      </c>
      <c r="J53" t="s">
        <v>149</v>
      </c>
      <c r="K53" t="s">
        <v>67</v>
      </c>
      <c r="L53" t="s">
        <v>84</v>
      </c>
      <c r="M53" t="s">
        <v>66</v>
      </c>
      <c r="N53" t="s">
        <v>91</v>
      </c>
    </row>
    <row r="54" spans="1:20" x14ac:dyDescent="0.25">
      <c r="A54" s="2">
        <v>20053</v>
      </c>
      <c r="B54" s="1" t="s">
        <v>386</v>
      </c>
      <c r="C54" t="s">
        <v>84</v>
      </c>
    </row>
    <row r="55" spans="1:20" x14ac:dyDescent="0.25">
      <c r="A55" s="2">
        <v>20054</v>
      </c>
      <c r="B55" s="1" t="s">
        <v>386</v>
      </c>
      <c r="C55" t="s">
        <v>66</v>
      </c>
      <c r="D55" t="s">
        <v>89</v>
      </c>
      <c r="E55" t="s">
        <v>91</v>
      </c>
      <c r="F55" t="s">
        <v>67</v>
      </c>
      <c r="G55" t="s">
        <v>116</v>
      </c>
      <c r="H55" t="s">
        <v>151</v>
      </c>
      <c r="I55" t="s">
        <v>65</v>
      </c>
      <c r="J55" t="s">
        <v>208</v>
      </c>
      <c r="K55" t="s">
        <v>242</v>
      </c>
      <c r="L55" t="s">
        <v>91</v>
      </c>
    </row>
    <row r="56" spans="1:20" x14ac:dyDescent="0.25">
      <c r="A56" s="2">
        <v>20055</v>
      </c>
      <c r="B56" s="1" t="s">
        <v>386</v>
      </c>
      <c r="C56" t="s">
        <v>156</v>
      </c>
      <c r="D56" t="s">
        <v>64</v>
      </c>
      <c r="E56" t="s">
        <v>177</v>
      </c>
      <c r="F56" t="s">
        <v>135</v>
      </c>
      <c r="G56" t="s">
        <v>72</v>
      </c>
      <c r="H56" t="s">
        <v>244</v>
      </c>
      <c r="I56" t="s">
        <v>245</v>
      </c>
      <c r="J56" t="s">
        <v>224</v>
      </c>
      <c r="K56" t="s">
        <v>246</v>
      </c>
      <c r="L56" t="s">
        <v>142</v>
      </c>
      <c r="M56" t="s">
        <v>247</v>
      </c>
      <c r="N56" t="s">
        <v>248</v>
      </c>
      <c r="O56" t="s">
        <v>105</v>
      </c>
      <c r="P56" t="s">
        <v>172</v>
      </c>
      <c r="Q56" t="s">
        <v>249</v>
      </c>
      <c r="R56" t="s">
        <v>250</v>
      </c>
      <c r="S56" t="s">
        <v>193</v>
      </c>
      <c r="T56" t="s">
        <v>194</v>
      </c>
    </row>
    <row r="57" spans="1:20" x14ac:dyDescent="0.25">
      <c r="A57" s="2">
        <v>20056</v>
      </c>
      <c r="B57" s="1" t="s">
        <v>386</v>
      </c>
      <c r="C57" t="s">
        <v>67</v>
      </c>
      <c r="D57" t="s">
        <v>66</v>
      </c>
      <c r="E57" t="s">
        <v>84</v>
      </c>
      <c r="F57" t="s">
        <v>147</v>
      </c>
    </row>
    <row r="58" spans="1:20" x14ac:dyDescent="0.25">
      <c r="A58" s="2">
        <v>20057</v>
      </c>
      <c r="B58" s="1" t="s">
        <v>386</v>
      </c>
      <c r="C58" t="s">
        <v>253</v>
      </c>
      <c r="D58" t="s">
        <v>72</v>
      </c>
      <c r="E58" t="s">
        <v>134</v>
      </c>
      <c r="F58" t="s">
        <v>133</v>
      </c>
      <c r="G58" t="s">
        <v>254</v>
      </c>
    </row>
    <row r="59" spans="1:20" x14ac:dyDescent="0.25">
      <c r="A59" s="2">
        <v>20058</v>
      </c>
      <c r="B59" s="1" t="s">
        <v>386</v>
      </c>
      <c r="C59" t="s">
        <v>64</v>
      </c>
      <c r="D59" t="s">
        <v>65</v>
      </c>
      <c r="E59" t="s">
        <v>66</v>
      </c>
      <c r="F59" t="s">
        <v>256</v>
      </c>
      <c r="G59" t="s">
        <v>254</v>
      </c>
      <c r="H59" t="s">
        <v>130</v>
      </c>
      <c r="I59" t="s">
        <v>116</v>
      </c>
    </row>
    <row r="60" spans="1:20" x14ac:dyDescent="0.25">
      <c r="A60" s="2">
        <v>20059</v>
      </c>
      <c r="B60" s="1" t="s">
        <v>386</v>
      </c>
      <c r="C60" t="s">
        <v>64</v>
      </c>
      <c r="D60" t="s">
        <v>65</v>
      </c>
      <c r="E60" t="s">
        <v>81</v>
      </c>
      <c r="F60" t="s">
        <v>71</v>
      </c>
      <c r="G60" t="s">
        <v>102</v>
      </c>
      <c r="H60" t="s">
        <v>121</v>
      </c>
      <c r="I60" t="s">
        <v>126</v>
      </c>
      <c r="J60" t="s">
        <v>114</v>
      </c>
      <c r="K60" t="s">
        <v>72</v>
      </c>
    </row>
    <row r="61" spans="1:20" x14ac:dyDescent="0.25">
      <c r="A61" s="2">
        <v>20060</v>
      </c>
      <c r="B61" s="1" t="s">
        <v>386</v>
      </c>
    </row>
    <row r="62" spans="1:20" x14ac:dyDescent="0.25">
      <c r="A62" s="2">
        <v>20061</v>
      </c>
      <c r="B62" s="1" t="s">
        <v>386</v>
      </c>
      <c r="C62" t="s">
        <v>155</v>
      </c>
      <c r="D62" t="s">
        <v>215</v>
      </c>
      <c r="E62" t="s">
        <v>72</v>
      </c>
      <c r="F62" t="s">
        <v>260</v>
      </c>
      <c r="G62" t="s">
        <v>71</v>
      </c>
    </row>
    <row r="63" spans="1:20" x14ac:dyDescent="0.25">
      <c r="A63" s="2">
        <v>20062</v>
      </c>
      <c r="B63" s="1" t="s">
        <v>386</v>
      </c>
      <c r="C63" t="s">
        <v>92</v>
      </c>
      <c r="D63" t="s">
        <v>64</v>
      </c>
      <c r="E63" t="s">
        <v>65</v>
      </c>
      <c r="F63" t="s">
        <v>66</v>
      </c>
      <c r="G63" t="s">
        <v>87</v>
      </c>
      <c r="H63" t="s">
        <v>84</v>
      </c>
      <c r="I63" t="s">
        <v>71</v>
      </c>
      <c r="J63" t="s">
        <v>262</v>
      </c>
      <c r="K63" t="s">
        <v>74</v>
      </c>
      <c r="L63" t="s">
        <v>89</v>
      </c>
      <c r="M63" t="s">
        <v>115</v>
      </c>
    </row>
    <row r="64" spans="1:20" x14ac:dyDescent="0.25">
      <c r="A64" s="2">
        <v>20063</v>
      </c>
      <c r="B64" s="1" t="s">
        <v>386</v>
      </c>
      <c r="C64" t="s">
        <v>65</v>
      </c>
    </row>
    <row r="65" spans="1:22" x14ac:dyDescent="0.25">
      <c r="A65" s="2">
        <v>20064</v>
      </c>
      <c r="B65" s="1" t="s">
        <v>386</v>
      </c>
      <c r="C65" t="s">
        <v>201</v>
      </c>
      <c r="D65" t="s">
        <v>217</v>
      </c>
      <c r="E65" t="s">
        <v>64</v>
      </c>
      <c r="F65" t="s">
        <v>65</v>
      </c>
    </row>
    <row r="66" spans="1:22" x14ac:dyDescent="0.25">
      <c r="A66" s="2">
        <v>20065</v>
      </c>
      <c r="B66" s="1" t="s">
        <v>386</v>
      </c>
      <c r="C66" t="s">
        <v>65</v>
      </c>
      <c r="D66" t="s">
        <v>64</v>
      </c>
      <c r="E66" t="s">
        <v>71</v>
      </c>
      <c r="F66" t="s">
        <v>66</v>
      </c>
      <c r="G66" t="s">
        <v>82</v>
      </c>
      <c r="H66" t="s">
        <v>248</v>
      </c>
      <c r="I66" t="s">
        <v>136</v>
      </c>
      <c r="J66" t="s">
        <v>266</v>
      </c>
      <c r="K66" t="s">
        <v>123</v>
      </c>
      <c r="L66" t="s">
        <v>201</v>
      </c>
      <c r="M66" t="s">
        <v>122</v>
      </c>
      <c r="N66" t="s">
        <v>74</v>
      </c>
      <c r="O66" t="s">
        <v>93</v>
      </c>
      <c r="P66" t="s">
        <v>94</v>
      </c>
    </row>
    <row r="67" spans="1:22" x14ac:dyDescent="0.25">
      <c r="A67" s="2">
        <v>20066</v>
      </c>
      <c r="B67" s="1" t="s">
        <v>386</v>
      </c>
      <c r="C67" t="s">
        <v>64</v>
      </c>
      <c r="D67" t="s">
        <v>65</v>
      </c>
      <c r="E67" t="s">
        <v>67</v>
      </c>
      <c r="F67" t="s">
        <v>66</v>
      </c>
      <c r="G67" t="s">
        <v>84</v>
      </c>
      <c r="H67" t="s">
        <v>126</v>
      </c>
      <c r="I67" t="s">
        <v>92</v>
      </c>
      <c r="J67" t="s">
        <v>120</v>
      </c>
      <c r="K67" t="s">
        <v>81</v>
      </c>
      <c r="L67" t="s">
        <v>207</v>
      </c>
      <c r="M67" t="s">
        <v>156</v>
      </c>
    </row>
    <row r="68" spans="1:22" x14ac:dyDescent="0.25">
      <c r="A68" s="2">
        <v>20067</v>
      </c>
      <c r="B68" s="1" t="s">
        <v>386</v>
      </c>
      <c r="C68" t="s">
        <v>93</v>
      </c>
      <c r="D68" t="s">
        <v>84</v>
      </c>
      <c r="E68" t="s">
        <v>64</v>
      </c>
      <c r="F68" t="s">
        <v>65</v>
      </c>
      <c r="G68" t="s">
        <v>121</v>
      </c>
      <c r="H68" t="s">
        <v>94</v>
      </c>
      <c r="I68" t="s">
        <v>85</v>
      </c>
      <c r="J68" t="s">
        <v>161</v>
      </c>
      <c r="K68" t="s">
        <v>123</v>
      </c>
    </row>
    <row r="69" spans="1:22" x14ac:dyDescent="0.25">
      <c r="A69" s="2">
        <v>20068</v>
      </c>
      <c r="B69" s="1" t="s">
        <v>386</v>
      </c>
      <c r="C69" t="s">
        <v>84</v>
      </c>
      <c r="D69" t="s">
        <v>66</v>
      </c>
      <c r="E69" t="s">
        <v>64</v>
      </c>
      <c r="F69" t="s">
        <v>65</v>
      </c>
      <c r="G69" t="s">
        <v>148</v>
      </c>
      <c r="H69" t="s">
        <v>270</v>
      </c>
      <c r="I69" t="s">
        <v>67</v>
      </c>
    </row>
    <row r="70" spans="1:22" x14ac:dyDescent="0.25">
      <c r="A70" s="2">
        <v>20069</v>
      </c>
      <c r="B70" s="1" t="s">
        <v>386</v>
      </c>
      <c r="C70" t="s">
        <v>271</v>
      </c>
    </row>
    <row r="71" spans="1:22" x14ac:dyDescent="0.25">
      <c r="A71" s="2">
        <v>20070</v>
      </c>
      <c r="B71" s="1" t="s">
        <v>386</v>
      </c>
      <c r="C71" t="s">
        <v>88</v>
      </c>
      <c r="D71" t="s">
        <v>67</v>
      </c>
      <c r="E71" t="s">
        <v>84</v>
      </c>
      <c r="F71" t="s">
        <v>74</v>
      </c>
      <c r="G71" t="s">
        <v>93</v>
      </c>
      <c r="H71" t="s">
        <v>73</v>
      </c>
    </row>
    <row r="72" spans="1:22" x14ac:dyDescent="0.25">
      <c r="A72" s="2">
        <v>20071</v>
      </c>
      <c r="B72" s="1" t="s">
        <v>386</v>
      </c>
      <c r="C72" t="s">
        <v>71</v>
      </c>
      <c r="D72" t="s">
        <v>64</v>
      </c>
      <c r="E72" t="s">
        <v>66</v>
      </c>
      <c r="F72" t="s">
        <v>65</v>
      </c>
      <c r="G72" t="s">
        <v>161</v>
      </c>
      <c r="H72" t="s">
        <v>88</v>
      </c>
      <c r="I72" t="s">
        <v>147</v>
      </c>
      <c r="J72" t="s">
        <v>84</v>
      </c>
      <c r="K72" t="s">
        <v>67</v>
      </c>
      <c r="L72" t="s">
        <v>91</v>
      </c>
      <c r="M72" t="s">
        <v>89</v>
      </c>
      <c r="N72" t="s">
        <v>95</v>
      </c>
      <c r="O72" t="s">
        <v>266</v>
      </c>
      <c r="P72" t="s">
        <v>136</v>
      </c>
      <c r="Q72" t="s">
        <v>87</v>
      </c>
      <c r="R72" t="s">
        <v>274</v>
      </c>
      <c r="S72" t="s">
        <v>187</v>
      </c>
      <c r="T72" t="s">
        <v>150</v>
      </c>
    </row>
    <row r="73" spans="1:22" x14ac:dyDescent="0.25">
      <c r="A73" s="2">
        <v>20072</v>
      </c>
      <c r="B73" s="1" t="s">
        <v>386</v>
      </c>
      <c r="C73" t="s">
        <v>65</v>
      </c>
      <c r="D73" t="s">
        <v>64</v>
      </c>
      <c r="E73" t="s">
        <v>276</v>
      </c>
      <c r="F73" t="s">
        <v>92</v>
      </c>
    </row>
    <row r="74" spans="1:22" x14ac:dyDescent="0.25">
      <c r="A74" s="2">
        <v>20073</v>
      </c>
      <c r="B74" s="1" t="s">
        <v>386</v>
      </c>
    </row>
    <row r="75" spans="1:22" x14ac:dyDescent="0.25">
      <c r="A75" s="2">
        <v>20074</v>
      </c>
      <c r="B75" s="1" t="s">
        <v>386</v>
      </c>
      <c r="C75" t="s">
        <v>280</v>
      </c>
      <c r="D75" t="s">
        <v>74</v>
      </c>
      <c r="E75" t="s">
        <v>193</v>
      </c>
      <c r="F75" t="s">
        <v>281</v>
      </c>
      <c r="G75" t="s">
        <v>116</v>
      </c>
      <c r="H75" t="s">
        <v>181</v>
      </c>
      <c r="I75" t="s">
        <v>66</v>
      </c>
      <c r="J75" t="s">
        <v>94</v>
      </c>
      <c r="K75" t="s">
        <v>142</v>
      </c>
      <c r="L75" t="s">
        <v>64</v>
      </c>
      <c r="M75" t="s">
        <v>65</v>
      </c>
      <c r="N75" t="s">
        <v>88</v>
      </c>
      <c r="O75" t="s">
        <v>282</v>
      </c>
      <c r="P75" t="s">
        <v>283</v>
      </c>
      <c r="Q75" t="s">
        <v>245</v>
      </c>
      <c r="R75" t="s">
        <v>167</v>
      </c>
      <c r="S75" t="s">
        <v>284</v>
      </c>
      <c r="T75" t="s">
        <v>224</v>
      </c>
      <c r="U75" t="s">
        <v>149</v>
      </c>
      <c r="V75" t="s">
        <v>150</v>
      </c>
    </row>
    <row r="76" spans="1:22" x14ac:dyDescent="0.25">
      <c r="A76" s="2">
        <v>20075</v>
      </c>
      <c r="B76" s="1" t="s">
        <v>386</v>
      </c>
      <c r="C76" t="s">
        <v>64</v>
      </c>
      <c r="D76" t="s">
        <v>65</v>
      </c>
      <c r="E76" t="s">
        <v>67</v>
      </c>
      <c r="F76" t="s">
        <v>91</v>
      </c>
      <c r="G76" t="s">
        <v>92</v>
      </c>
      <c r="H76" t="s">
        <v>71</v>
      </c>
      <c r="I76" t="s">
        <v>150</v>
      </c>
      <c r="J76" t="s">
        <v>66</v>
      </c>
      <c r="K76" t="s">
        <v>286</v>
      </c>
      <c r="L76" t="s">
        <v>113</v>
      </c>
      <c r="M76" t="s">
        <v>70</v>
      </c>
    </row>
    <row r="77" spans="1:22" x14ac:dyDescent="0.25">
      <c r="A77" s="2">
        <v>20076</v>
      </c>
      <c r="B77" s="1" t="s">
        <v>386</v>
      </c>
      <c r="C77" t="s">
        <v>64</v>
      </c>
      <c r="D77" t="s">
        <v>89</v>
      </c>
      <c r="E77" t="s">
        <v>91</v>
      </c>
    </row>
    <row r="78" spans="1:22" x14ac:dyDescent="0.25">
      <c r="A78" s="2">
        <v>20077</v>
      </c>
      <c r="B78" s="1" t="s">
        <v>386</v>
      </c>
      <c r="C78" t="s">
        <v>65</v>
      </c>
      <c r="D78" t="s">
        <v>64</v>
      </c>
      <c r="E78" t="s">
        <v>80</v>
      </c>
      <c r="F78" t="s">
        <v>148</v>
      </c>
      <c r="G78" t="s">
        <v>217</v>
      </c>
      <c r="H78" t="s">
        <v>289</v>
      </c>
      <c r="I78" t="s">
        <v>290</v>
      </c>
      <c r="J78" t="s">
        <v>262</v>
      </c>
      <c r="K78" t="s">
        <v>71</v>
      </c>
      <c r="L78" t="s">
        <v>121</v>
      </c>
      <c r="M78" t="s">
        <v>66</v>
      </c>
      <c r="N78" t="s">
        <v>91</v>
      </c>
      <c r="O78" t="s">
        <v>67</v>
      </c>
    </row>
    <row r="79" spans="1:22" x14ac:dyDescent="0.25">
      <c r="A79" s="2">
        <v>20078</v>
      </c>
      <c r="B79" s="1" t="s">
        <v>386</v>
      </c>
      <c r="C79" t="s">
        <v>64</v>
      </c>
      <c r="D79" t="s">
        <v>65</v>
      </c>
      <c r="E79" t="s">
        <v>121</v>
      </c>
      <c r="F79" t="s">
        <v>92</v>
      </c>
      <c r="G79" t="s">
        <v>133</v>
      </c>
      <c r="H79" t="s">
        <v>84</v>
      </c>
      <c r="I79" t="s">
        <v>66</v>
      </c>
      <c r="J79" t="s">
        <v>153</v>
      </c>
      <c r="K79" t="s">
        <v>130</v>
      </c>
    </row>
    <row r="80" spans="1:22" x14ac:dyDescent="0.25">
      <c r="A80" s="2">
        <v>20079</v>
      </c>
      <c r="B80" s="1" t="s">
        <v>386</v>
      </c>
      <c r="C80" t="s">
        <v>217</v>
      </c>
      <c r="D80" t="s">
        <v>92</v>
      </c>
      <c r="E80" t="s">
        <v>71</v>
      </c>
      <c r="F80" t="s">
        <v>72</v>
      </c>
      <c r="G80" t="s">
        <v>84</v>
      </c>
      <c r="H80" t="s">
        <v>66</v>
      </c>
      <c r="I80" t="s">
        <v>67</v>
      </c>
      <c r="J80" t="s">
        <v>91</v>
      </c>
      <c r="K80" t="s">
        <v>89</v>
      </c>
      <c r="L80" t="s">
        <v>64</v>
      </c>
      <c r="M80" t="s">
        <v>65</v>
      </c>
      <c r="N80" t="s">
        <v>161</v>
      </c>
      <c r="O80" t="s">
        <v>73</v>
      </c>
    </row>
    <row r="81" spans="1:17" x14ac:dyDescent="0.25">
      <c r="A81" s="2">
        <v>20080</v>
      </c>
      <c r="B81" s="1" t="s">
        <v>386</v>
      </c>
    </row>
    <row r="82" spans="1:17" x14ac:dyDescent="0.25">
      <c r="A82" s="2">
        <v>20081</v>
      </c>
      <c r="B82" s="1" t="s">
        <v>386</v>
      </c>
    </row>
    <row r="83" spans="1:17" x14ac:dyDescent="0.25">
      <c r="A83" s="2">
        <v>20082</v>
      </c>
      <c r="B83" s="1" t="s">
        <v>386</v>
      </c>
      <c r="C83" t="s">
        <v>64</v>
      </c>
      <c r="D83" t="s">
        <v>65</v>
      </c>
      <c r="E83" t="s">
        <v>116</v>
      </c>
      <c r="F83" t="s">
        <v>81</v>
      </c>
    </row>
    <row r="84" spans="1:17" x14ac:dyDescent="0.25">
      <c r="A84" s="2">
        <v>20083</v>
      </c>
      <c r="B84" s="1" t="s">
        <v>386</v>
      </c>
    </row>
    <row r="85" spans="1:17" x14ac:dyDescent="0.25">
      <c r="A85" s="2">
        <v>20084</v>
      </c>
      <c r="B85" s="1" t="s">
        <v>386</v>
      </c>
      <c r="C85" t="s">
        <v>232</v>
      </c>
      <c r="D85" t="s">
        <v>177</v>
      </c>
      <c r="E85" t="s">
        <v>295</v>
      </c>
      <c r="F85" t="s">
        <v>250</v>
      </c>
      <c r="G85" t="s">
        <v>172</v>
      </c>
      <c r="H85" t="s">
        <v>249</v>
      </c>
      <c r="I85" t="s">
        <v>193</v>
      </c>
      <c r="J85" t="s">
        <v>194</v>
      </c>
      <c r="K85" t="s">
        <v>224</v>
      </c>
      <c r="L85" t="s">
        <v>95</v>
      </c>
      <c r="M85" t="s">
        <v>296</v>
      </c>
      <c r="N85" t="s">
        <v>297</v>
      </c>
    </row>
    <row r="86" spans="1:17" x14ac:dyDescent="0.25">
      <c r="A86" s="2">
        <v>20085</v>
      </c>
      <c r="B86" s="1" t="s">
        <v>386</v>
      </c>
      <c r="C86" t="s">
        <v>65</v>
      </c>
    </row>
    <row r="87" spans="1:17" x14ac:dyDescent="0.25">
      <c r="A87" s="2">
        <v>20086</v>
      </c>
      <c r="B87" s="1" t="s">
        <v>386</v>
      </c>
      <c r="C87" t="s">
        <v>64</v>
      </c>
      <c r="D87" t="s">
        <v>65</v>
      </c>
      <c r="E87" t="s">
        <v>71</v>
      </c>
      <c r="F87" t="s">
        <v>91</v>
      </c>
      <c r="G87" t="s">
        <v>89</v>
      </c>
      <c r="H87" t="s">
        <v>82</v>
      </c>
      <c r="I87" t="s">
        <v>93</v>
      </c>
      <c r="J87" t="s">
        <v>116</v>
      </c>
      <c r="K87" t="s">
        <v>113</v>
      </c>
      <c r="L87" t="s">
        <v>179</v>
      </c>
      <c r="M87" t="s">
        <v>238</v>
      </c>
      <c r="N87" t="s">
        <v>120</v>
      </c>
      <c r="O87" t="s">
        <v>66</v>
      </c>
    </row>
    <row r="88" spans="1:17" x14ac:dyDescent="0.25">
      <c r="A88" s="2">
        <v>20087</v>
      </c>
      <c r="B88" s="1" t="s">
        <v>386</v>
      </c>
      <c r="C88" t="s">
        <v>115</v>
      </c>
    </row>
    <row r="89" spans="1:17" x14ac:dyDescent="0.25">
      <c r="A89" s="2">
        <v>20088</v>
      </c>
      <c r="B89" s="1" t="s">
        <v>386</v>
      </c>
      <c r="C89" s="2" t="s">
        <v>302</v>
      </c>
      <c r="D89" s="2" t="s">
        <v>303</v>
      </c>
      <c r="E89" t="s">
        <v>65</v>
      </c>
      <c r="F89" t="s">
        <v>64</v>
      </c>
      <c r="G89" t="s">
        <v>66</v>
      </c>
      <c r="H89" t="s">
        <v>149</v>
      </c>
      <c r="I89" t="s">
        <v>304</v>
      </c>
      <c r="J89" t="s">
        <v>85</v>
      </c>
      <c r="K89" t="s">
        <v>305</v>
      </c>
      <c r="L89" t="s">
        <v>103</v>
      </c>
      <c r="M89" t="s">
        <v>70</v>
      </c>
      <c r="N89" t="s">
        <v>306</v>
      </c>
      <c r="O89" t="s">
        <v>307</v>
      </c>
      <c r="P89" t="s">
        <v>308</v>
      </c>
      <c r="Q89" t="s">
        <v>86</v>
      </c>
    </row>
    <row r="90" spans="1:17" x14ac:dyDescent="0.25">
      <c r="A90" s="2">
        <v>20089</v>
      </c>
      <c r="B90" s="1" t="s">
        <v>386</v>
      </c>
    </row>
    <row r="91" spans="1:17" x14ac:dyDescent="0.25">
      <c r="A91" s="2">
        <v>20090</v>
      </c>
      <c r="B91" s="1" t="s">
        <v>386</v>
      </c>
      <c r="C91" t="s">
        <v>115</v>
      </c>
      <c r="D91" t="s">
        <v>64</v>
      </c>
      <c r="E91" t="s">
        <v>65</v>
      </c>
      <c r="F91" t="s">
        <v>89</v>
      </c>
      <c r="G91" t="s">
        <v>286</v>
      </c>
      <c r="H91" t="s">
        <v>80</v>
      </c>
      <c r="I91" t="s">
        <v>91</v>
      </c>
      <c r="J91" t="s">
        <v>155</v>
      </c>
      <c r="K91" t="s">
        <v>205</v>
      </c>
      <c r="L91" t="s">
        <v>67</v>
      </c>
      <c r="M91" t="s">
        <v>150</v>
      </c>
      <c r="N91" t="s">
        <v>66</v>
      </c>
      <c r="O91" t="s">
        <v>84</v>
      </c>
      <c r="P91" t="s">
        <v>92</v>
      </c>
      <c r="Q91" t="s">
        <v>148</v>
      </c>
    </row>
    <row r="92" spans="1:17" x14ac:dyDescent="0.25">
      <c r="A92" s="2">
        <v>20091</v>
      </c>
      <c r="B92" s="1" t="s">
        <v>386</v>
      </c>
      <c r="C92" t="s">
        <v>120</v>
      </c>
      <c r="D92" t="s">
        <v>199</v>
      </c>
      <c r="E92" t="s">
        <v>64</v>
      </c>
      <c r="F92" t="s">
        <v>127</v>
      </c>
      <c r="G92" t="s">
        <v>84</v>
      </c>
      <c r="H92" t="s">
        <v>95</v>
      </c>
      <c r="I92" t="s">
        <v>81</v>
      </c>
      <c r="J92" t="s">
        <v>115</v>
      </c>
      <c r="K92" t="s">
        <v>221</v>
      </c>
      <c r="L92" t="s">
        <v>74</v>
      </c>
      <c r="M92" t="s">
        <v>165</v>
      </c>
      <c r="N92" t="s">
        <v>283</v>
      </c>
      <c r="O92" t="s">
        <v>311</v>
      </c>
    </row>
    <row r="93" spans="1:17" x14ac:dyDescent="0.25">
      <c r="A93" s="2">
        <v>20092</v>
      </c>
      <c r="B93" s="1" t="s">
        <v>386</v>
      </c>
    </row>
    <row r="94" spans="1:17" x14ac:dyDescent="0.25">
      <c r="A94" s="2">
        <v>20093</v>
      </c>
      <c r="B94" s="1" t="s">
        <v>386</v>
      </c>
      <c r="C94" t="s">
        <v>66</v>
      </c>
      <c r="D94" t="s">
        <v>177</v>
      </c>
      <c r="E94" t="s">
        <v>67</v>
      </c>
      <c r="F94" t="s">
        <v>232</v>
      </c>
      <c r="G94" t="s">
        <v>180</v>
      </c>
    </row>
    <row r="95" spans="1:17" x14ac:dyDescent="0.25">
      <c r="A95" s="2">
        <v>20094</v>
      </c>
      <c r="B95" s="1" t="s">
        <v>386</v>
      </c>
      <c r="C95" t="s">
        <v>92</v>
      </c>
      <c r="D95" t="s">
        <v>315</v>
      </c>
    </row>
    <row r="96" spans="1:17" x14ac:dyDescent="0.25">
      <c r="A96" s="2">
        <v>20095</v>
      </c>
      <c r="B96" s="1" t="s">
        <v>386</v>
      </c>
      <c r="C96" t="s">
        <v>65</v>
      </c>
    </row>
    <row r="97" spans="1:22" x14ac:dyDescent="0.25">
      <c r="A97" s="2">
        <v>20096</v>
      </c>
      <c r="B97" s="1" t="s">
        <v>386</v>
      </c>
      <c r="C97" t="s">
        <v>64</v>
      </c>
      <c r="D97" t="s">
        <v>65</v>
      </c>
      <c r="E97" t="s">
        <v>317</v>
      </c>
      <c r="F97" t="s">
        <v>92</v>
      </c>
    </row>
    <row r="98" spans="1:22" x14ac:dyDescent="0.25">
      <c r="A98" s="2">
        <v>20097</v>
      </c>
      <c r="B98" s="1" t="s">
        <v>386</v>
      </c>
    </row>
    <row r="99" spans="1:22" x14ac:dyDescent="0.25">
      <c r="A99" s="2">
        <v>20098</v>
      </c>
      <c r="B99" s="1" t="s">
        <v>386</v>
      </c>
      <c r="C99" t="s">
        <v>66</v>
      </c>
      <c r="D99" t="s">
        <v>67</v>
      </c>
      <c r="E99" t="s">
        <v>93</v>
      </c>
      <c r="F99" t="s">
        <v>74</v>
      </c>
      <c r="G99" t="s">
        <v>82</v>
      </c>
    </row>
    <row r="100" spans="1:22" x14ac:dyDescent="0.25">
      <c r="A100" s="2">
        <v>20099</v>
      </c>
      <c r="B100" s="1" t="s">
        <v>386</v>
      </c>
      <c r="C100" t="s">
        <v>232</v>
      </c>
      <c r="D100" t="s">
        <v>177</v>
      </c>
    </row>
    <row r="101" spans="1:22" x14ac:dyDescent="0.25">
      <c r="A101" s="2">
        <v>20100</v>
      </c>
      <c r="B101" s="1" t="s">
        <v>386</v>
      </c>
      <c r="C101" t="s">
        <v>64</v>
      </c>
      <c r="D101" t="s">
        <v>65</v>
      </c>
      <c r="E101" t="s">
        <v>74</v>
      </c>
      <c r="F101" t="s">
        <v>80</v>
      </c>
      <c r="G101" t="s">
        <v>321</v>
      </c>
      <c r="H101" t="s">
        <v>181</v>
      </c>
      <c r="I101" t="s">
        <v>71</v>
      </c>
      <c r="J101" t="s">
        <v>322</v>
      </c>
      <c r="K101" t="s">
        <v>207</v>
      </c>
      <c r="L101" t="s">
        <v>323</v>
      </c>
      <c r="M101" t="s">
        <v>82</v>
      </c>
      <c r="N101" t="s">
        <v>66</v>
      </c>
      <c r="O101" t="s">
        <v>116</v>
      </c>
      <c r="P101" t="s">
        <v>67</v>
      </c>
    </row>
    <row r="102" spans="1:22" x14ac:dyDescent="0.25">
      <c r="A102" s="2">
        <v>20101</v>
      </c>
      <c r="B102" s="1" t="s">
        <v>386</v>
      </c>
      <c r="C102" t="s">
        <v>67</v>
      </c>
      <c r="D102" t="s">
        <v>92</v>
      </c>
      <c r="E102" t="s">
        <v>65</v>
      </c>
      <c r="F102" t="s">
        <v>232</v>
      </c>
      <c r="G102" t="s">
        <v>88</v>
      </c>
    </row>
    <row r="103" spans="1:22" x14ac:dyDescent="0.25">
      <c r="A103" s="2">
        <v>20102</v>
      </c>
      <c r="B103" s="1" t="s">
        <v>386</v>
      </c>
      <c r="C103" t="s">
        <v>64</v>
      </c>
      <c r="D103" t="s">
        <v>65</v>
      </c>
      <c r="E103" t="s">
        <v>80</v>
      </c>
      <c r="F103" t="s">
        <v>67</v>
      </c>
      <c r="G103" t="s">
        <v>91</v>
      </c>
      <c r="H103" t="s">
        <v>84</v>
      </c>
      <c r="I103" t="s">
        <v>66</v>
      </c>
    </row>
    <row r="104" spans="1:22" x14ac:dyDescent="0.25">
      <c r="A104" s="2">
        <v>20103</v>
      </c>
      <c r="B104" s="1" t="s">
        <v>386</v>
      </c>
      <c r="C104" t="s">
        <v>65</v>
      </c>
      <c r="D104" t="s">
        <v>64</v>
      </c>
      <c r="E104" t="s">
        <v>71</v>
      </c>
      <c r="F104" t="s">
        <v>74</v>
      </c>
      <c r="G104" t="s">
        <v>83</v>
      </c>
      <c r="H104" t="s">
        <v>207</v>
      </c>
      <c r="I104" t="s">
        <v>156</v>
      </c>
      <c r="J104" t="s">
        <v>91</v>
      </c>
      <c r="K104" t="s">
        <v>66</v>
      </c>
      <c r="L104" t="s">
        <v>72</v>
      </c>
      <c r="M104" t="s">
        <v>92</v>
      </c>
      <c r="N104" t="s">
        <v>327</v>
      </c>
      <c r="O104" t="s">
        <v>88</v>
      </c>
      <c r="P104" t="s">
        <v>84</v>
      </c>
      <c r="Q104" t="s">
        <v>94</v>
      </c>
      <c r="R104" t="s">
        <v>80</v>
      </c>
      <c r="S104" t="s">
        <v>328</v>
      </c>
      <c r="T104" t="s">
        <v>126</v>
      </c>
      <c r="U104" t="s">
        <v>329</v>
      </c>
      <c r="V104" t="s">
        <v>330</v>
      </c>
    </row>
    <row r="105" spans="1:22" x14ac:dyDescent="0.25">
      <c r="A105" s="2">
        <v>20104</v>
      </c>
      <c r="B105" s="1" t="s">
        <v>386</v>
      </c>
      <c r="C105" t="s">
        <v>66</v>
      </c>
      <c r="D105" t="s">
        <v>88</v>
      </c>
    </row>
    <row r="106" spans="1:22" x14ac:dyDescent="0.25">
      <c r="A106" s="2">
        <v>20105</v>
      </c>
      <c r="B106" s="1" t="s">
        <v>386</v>
      </c>
      <c r="C106" t="s">
        <v>66</v>
      </c>
      <c r="D106" t="s">
        <v>161</v>
      </c>
      <c r="E106" t="s">
        <v>89</v>
      </c>
      <c r="F106" t="s">
        <v>286</v>
      </c>
      <c r="G106" t="s">
        <v>80</v>
      </c>
    </row>
    <row r="107" spans="1:22" x14ac:dyDescent="0.25">
      <c r="A107" s="2">
        <v>20106</v>
      </c>
      <c r="B107" s="1" t="s">
        <v>386</v>
      </c>
      <c r="C107" t="s">
        <v>65</v>
      </c>
      <c r="D107" t="s">
        <v>64</v>
      </c>
      <c r="E107" t="s">
        <v>92</v>
      </c>
      <c r="F107" t="s">
        <v>71</v>
      </c>
      <c r="G107" t="s">
        <v>113</v>
      </c>
      <c r="H107" t="s">
        <v>67</v>
      </c>
      <c r="I107" t="s">
        <v>91</v>
      </c>
      <c r="J107" t="s">
        <v>89</v>
      </c>
      <c r="K107" t="s">
        <v>86</v>
      </c>
      <c r="L107" t="s">
        <v>85</v>
      </c>
    </row>
    <row r="108" spans="1:22" x14ac:dyDescent="0.25">
      <c r="A108" s="2">
        <v>20107</v>
      </c>
      <c r="B108" s="1" t="s">
        <v>386</v>
      </c>
      <c r="C108" t="s">
        <v>67</v>
      </c>
      <c r="D108" t="s">
        <v>224</v>
      </c>
    </row>
    <row r="109" spans="1:22" x14ac:dyDescent="0.25">
      <c r="A109" s="2">
        <v>20108</v>
      </c>
      <c r="B109" s="1" t="s">
        <v>386</v>
      </c>
      <c r="C109" t="s">
        <v>64</v>
      </c>
      <c r="D109" t="s">
        <v>65</v>
      </c>
      <c r="E109" t="s">
        <v>66</v>
      </c>
      <c r="F109" t="s">
        <v>71</v>
      </c>
      <c r="G109" t="s">
        <v>138</v>
      </c>
      <c r="H109" t="s">
        <v>67</v>
      </c>
      <c r="I109" t="s">
        <v>336</v>
      </c>
      <c r="J109" t="s">
        <v>286</v>
      </c>
    </row>
    <row r="110" spans="1:22" x14ac:dyDescent="0.25">
      <c r="A110" s="2">
        <v>20109</v>
      </c>
      <c r="B110" s="1" t="s">
        <v>386</v>
      </c>
      <c r="C110" t="s">
        <v>64</v>
      </c>
      <c r="D110" t="s">
        <v>65</v>
      </c>
      <c r="E110" t="s">
        <v>172</v>
      </c>
      <c r="F110" t="s">
        <v>207</v>
      </c>
      <c r="G110" t="s">
        <v>88</v>
      </c>
      <c r="H110" t="s">
        <v>67</v>
      </c>
      <c r="I110" t="s">
        <v>66</v>
      </c>
      <c r="J110" t="s">
        <v>84</v>
      </c>
      <c r="K110" t="s">
        <v>116</v>
      </c>
      <c r="L110" t="s">
        <v>102</v>
      </c>
      <c r="M110" t="s">
        <v>338</v>
      </c>
      <c r="N110" t="s">
        <v>339</v>
      </c>
      <c r="O110" t="s">
        <v>340</v>
      </c>
      <c r="P110" t="s">
        <v>221</v>
      </c>
      <c r="Q110" t="s">
        <v>341</v>
      </c>
      <c r="R110" t="s">
        <v>76</v>
      </c>
      <c r="S110" t="s">
        <v>113</v>
      </c>
      <c r="T110" t="s">
        <v>202</v>
      </c>
      <c r="U110" t="s">
        <v>133</v>
      </c>
      <c r="V110" t="s">
        <v>342</v>
      </c>
    </row>
    <row r="111" spans="1:22" x14ac:dyDescent="0.25">
      <c r="A111" s="2">
        <v>20110</v>
      </c>
      <c r="B111" s="1" t="s">
        <v>386</v>
      </c>
    </row>
    <row r="112" spans="1:22" x14ac:dyDescent="0.25">
      <c r="A112" s="2">
        <v>20111</v>
      </c>
      <c r="B112" s="1" t="s">
        <v>386</v>
      </c>
    </row>
    <row r="113" spans="1:19" x14ac:dyDescent="0.25">
      <c r="A113" s="2">
        <v>20112</v>
      </c>
      <c r="B113" s="1" t="s">
        <v>386</v>
      </c>
    </row>
    <row r="114" spans="1:19" x14ac:dyDescent="0.25">
      <c r="A114" s="2">
        <v>20113</v>
      </c>
      <c r="B114" s="1" t="s">
        <v>386</v>
      </c>
      <c r="C114" t="s">
        <v>85</v>
      </c>
      <c r="D114" t="s">
        <v>64</v>
      </c>
      <c r="E114" t="s">
        <v>65</v>
      </c>
      <c r="F114" t="s">
        <v>121</v>
      </c>
      <c r="G114" t="s">
        <v>67</v>
      </c>
      <c r="H114" t="s">
        <v>92</v>
      </c>
      <c r="I114" t="s">
        <v>71</v>
      </c>
      <c r="J114" t="s">
        <v>286</v>
      </c>
      <c r="K114" t="s">
        <v>305</v>
      </c>
      <c r="L114" t="s">
        <v>345</v>
      </c>
      <c r="M114" t="s">
        <v>346</v>
      </c>
    </row>
    <row r="115" spans="1:19" x14ac:dyDescent="0.25">
      <c r="A115" s="2">
        <v>20114</v>
      </c>
      <c r="B115" s="1" t="s">
        <v>386</v>
      </c>
      <c r="C115" t="s">
        <v>116</v>
      </c>
      <c r="D115" t="s">
        <v>91</v>
      </c>
      <c r="E115" t="s">
        <v>89</v>
      </c>
      <c r="F115" t="s">
        <v>120</v>
      </c>
      <c r="G115" t="s">
        <v>65</v>
      </c>
      <c r="H115" t="s">
        <v>64</v>
      </c>
      <c r="I115" t="s">
        <v>165</v>
      </c>
      <c r="J115" t="s">
        <v>245</v>
      </c>
      <c r="K115" t="s">
        <v>100</v>
      </c>
      <c r="L115" t="s">
        <v>126</v>
      </c>
    </row>
    <row r="116" spans="1:19" x14ac:dyDescent="0.25">
      <c r="A116" s="2">
        <v>20115</v>
      </c>
      <c r="B116" s="1" t="s">
        <v>386</v>
      </c>
    </row>
    <row r="117" spans="1:19" x14ac:dyDescent="0.25">
      <c r="A117" s="2">
        <v>20116</v>
      </c>
      <c r="B117" s="1" t="s">
        <v>386</v>
      </c>
      <c r="C117" t="s">
        <v>67</v>
      </c>
      <c r="D117" t="s">
        <v>116</v>
      </c>
      <c r="E117" t="s">
        <v>121</v>
      </c>
      <c r="F117" t="s">
        <v>65</v>
      </c>
      <c r="G117" t="s">
        <v>349</v>
      </c>
      <c r="H117" t="s">
        <v>64</v>
      </c>
      <c r="I117" t="s">
        <v>84</v>
      </c>
    </row>
    <row r="118" spans="1:19" x14ac:dyDescent="0.25">
      <c r="A118" s="2">
        <v>20117</v>
      </c>
      <c r="B118" s="1" t="s">
        <v>386</v>
      </c>
      <c r="C118" t="s">
        <v>71</v>
      </c>
      <c r="D118" t="s">
        <v>232</v>
      </c>
      <c r="E118" t="s">
        <v>177</v>
      </c>
      <c r="F118" t="s">
        <v>123</v>
      </c>
      <c r="G118" t="s">
        <v>95</v>
      </c>
      <c r="H118" t="s">
        <v>193</v>
      </c>
    </row>
    <row r="119" spans="1:19" x14ac:dyDescent="0.25">
      <c r="A119" s="2">
        <v>20118</v>
      </c>
      <c r="B119" s="1" t="s">
        <v>386</v>
      </c>
      <c r="C119" t="s">
        <v>84</v>
      </c>
      <c r="D119" t="s">
        <v>67</v>
      </c>
      <c r="E119" t="s">
        <v>64</v>
      </c>
      <c r="F119" t="s">
        <v>65</v>
      </c>
    </row>
    <row r="120" spans="1:19" x14ac:dyDescent="0.25">
      <c r="A120" s="2">
        <v>20119</v>
      </c>
      <c r="B120" s="1" t="s">
        <v>386</v>
      </c>
      <c r="C120" t="s">
        <v>131</v>
      </c>
      <c r="D120" t="s">
        <v>177</v>
      </c>
      <c r="E120" t="s">
        <v>232</v>
      </c>
      <c r="F120" t="s">
        <v>121</v>
      </c>
    </row>
    <row r="121" spans="1:19" x14ac:dyDescent="0.25">
      <c r="A121" s="2">
        <v>20120</v>
      </c>
      <c r="B121" s="1" t="s">
        <v>386</v>
      </c>
      <c r="C121" t="s">
        <v>64</v>
      </c>
      <c r="D121" t="s">
        <v>65</v>
      </c>
      <c r="E121" t="s">
        <v>354</v>
      </c>
      <c r="F121" t="s">
        <v>91</v>
      </c>
      <c r="G121" t="s">
        <v>84</v>
      </c>
      <c r="H121" t="s">
        <v>66</v>
      </c>
      <c r="I121" t="s">
        <v>85</v>
      </c>
      <c r="J121" t="s">
        <v>82</v>
      </c>
      <c r="K121" t="s">
        <v>116</v>
      </c>
      <c r="L121" t="s">
        <v>103</v>
      </c>
      <c r="M121" t="s">
        <v>286</v>
      </c>
    </row>
    <row r="122" spans="1:19" x14ac:dyDescent="0.25">
      <c r="A122" s="2">
        <v>20121</v>
      </c>
      <c r="B122" s="1" t="s">
        <v>386</v>
      </c>
      <c r="C122" t="s">
        <v>64</v>
      </c>
      <c r="D122" t="s">
        <v>65</v>
      </c>
      <c r="E122" t="s">
        <v>356</v>
      </c>
      <c r="F122" t="s">
        <v>89</v>
      </c>
      <c r="G122" t="s">
        <v>95</v>
      </c>
      <c r="H122" t="s">
        <v>81</v>
      </c>
      <c r="I122" t="s">
        <v>148</v>
      </c>
      <c r="J122" t="s">
        <v>328</v>
      </c>
    </row>
    <row r="123" spans="1:19" x14ac:dyDescent="0.25">
      <c r="A123" s="2">
        <v>20122</v>
      </c>
      <c r="B123" s="1" t="s">
        <v>386</v>
      </c>
      <c r="C123" t="s">
        <v>64</v>
      </c>
      <c r="D123" t="s">
        <v>65</v>
      </c>
      <c r="E123" t="s">
        <v>95</v>
      </c>
      <c r="F123" t="s">
        <v>67</v>
      </c>
      <c r="G123" t="s">
        <v>91</v>
      </c>
      <c r="H123" t="s">
        <v>89</v>
      </c>
      <c r="I123" t="s">
        <v>116</v>
      </c>
      <c r="J123" t="s">
        <v>115</v>
      </c>
      <c r="K123" t="s">
        <v>179</v>
      </c>
      <c r="L123" t="s">
        <v>358</v>
      </c>
      <c r="M123" t="s">
        <v>187</v>
      </c>
      <c r="N123" t="s">
        <v>359</v>
      </c>
      <c r="O123" t="s">
        <v>86</v>
      </c>
      <c r="P123" t="s">
        <v>130</v>
      </c>
      <c r="Q123" t="s">
        <v>88</v>
      </c>
      <c r="R123" t="s">
        <v>120</v>
      </c>
      <c r="S123" t="s">
        <v>127</v>
      </c>
    </row>
    <row r="124" spans="1:19" x14ac:dyDescent="0.25">
      <c r="A124" s="2">
        <v>20123</v>
      </c>
      <c r="B124" s="1" t="s">
        <v>386</v>
      </c>
    </row>
    <row r="125" spans="1:19" x14ac:dyDescent="0.25">
      <c r="A125" s="2">
        <v>20124</v>
      </c>
      <c r="B125" s="1" t="s">
        <v>386</v>
      </c>
      <c r="C125" t="s">
        <v>64</v>
      </c>
      <c r="D125" t="s">
        <v>65</v>
      </c>
    </row>
    <row r="126" spans="1:19" x14ac:dyDescent="0.25">
      <c r="A126" s="2">
        <v>20125</v>
      </c>
      <c r="B126" s="1" t="s">
        <v>386</v>
      </c>
      <c r="C126" t="s">
        <v>64</v>
      </c>
      <c r="D126" t="s">
        <v>65</v>
      </c>
      <c r="E126" t="s">
        <v>260</v>
      </c>
      <c r="F126" t="s">
        <v>156</v>
      </c>
    </row>
    <row r="127" spans="1:19" x14ac:dyDescent="0.25">
      <c r="A127" s="2">
        <v>20126</v>
      </c>
      <c r="B127" s="1" t="s">
        <v>386</v>
      </c>
    </row>
    <row r="128" spans="1:19" x14ac:dyDescent="0.25">
      <c r="A128" s="2">
        <v>20127</v>
      </c>
      <c r="B128" s="1" t="s">
        <v>386</v>
      </c>
    </row>
    <row r="129" spans="1:21" x14ac:dyDescent="0.25">
      <c r="A129" s="2">
        <v>20128</v>
      </c>
      <c r="B129" s="1" t="s">
        <v>386</v>
      </c>
      <c r="C129" t="s">
        <v>71</v>
      </c>
      <c r="D129" t="s">
        <v>92</v>
      </c>
      <c r="E129" t="s">
        <v>133</v>
      </c>
      <c r="F129" t="s">
        <v>64</v>
      </c>
      <c r="G129" t="s">
        <v>65</v>
      </c>
      <c r="H129" t="s">
        <v>138</v>
      </c>
      <c r="I129" t="s">
        <v>80</v>
      </c>
      <c r="J129" t="s">
        <v>81</v>
      </c>
      <c r="K129" t="s">
        <v>286</v>
      </c>
      <c r="L129" t="s">
        <v>238</v>
      </c>
      <c r="M129" t="s">
        <v>67</v>
      </c>
      <c r="N129" t="s">
        <v>91</v>
      </c>
      <c r="O129" t="s">
        <v>89</v>
      </c>
      <c r="P129" t="s">
        <v>84</v>
      </c>
      <c r="Q129" t="s">
        <v>250</v>
      </c>
      <c r="R129" t="s">
        <v>123</v>
      </c>
      <c r="S129" t="s">
        <v>338</v>
      </c>
      <c r="T129" t="s">
        <v>95</v>
      </c>
      <c r="U129" t="s">
        <v>365</v>
      </c>
    </row>
    <row r="130" spans="1:21" x14ac:dyDescent="0.25">
      <c r="A130" s="2">
        <v>20129</v>
      </c>
      <c r="B130" s="1" t="s">
        <v>386</v>
      </c>
      <c r="C130" t="s">
        <v>64</v>
      </c>
      <c r="D130" t="s">
        <v>65</v>
      </c>
      <c r="E130" t="s">
        <v>66</v>
      </c>
      <c r="F130" t="s">
        <v>116</v>
      </c>
      <c r="G130" t="s">
        <v>84</v>
      </c>
      <c r="H130" t="s">
        <v>72</v>
      </c>
      <c r="I130" t="s">
        <v>147</v>
      </c>
      <c r="J130" t="s">
        <v>88</v>
      </c>
      <c r="K130" t="s">
        <v>92</v>
      </c>
      <c r="L130" t="s">
        <v>71</v>
      </c>
      <c r="M130" t="s">
        <v>74</v>
      </c>
      <c r="N130" t="s">
        <v>80</v>
      </c>
    </row>
    <row r="131" spans="1:21" x14ac:dyDescent="0.25">
      <c r="A131" s="2">
        <v>20130</v>
      </c>
      <c r="B131" s="1" t="s">
        <v>386</v>
      </c>
      <c r="C131" t="s">
        <v>64</v>
      </c>
      <c r="D131" t="s">
        <v>65</v>
      </c>
      <c r="E131" t="s">
        <v>368</v>
      </c>
      <c r="F131" t="s">
        <v>199</v>
      </c>
      <c r="G131" t="s">
        <v>194</v>
      </c>
      <c r="H131" t="s">
        <v>193</v>
      </c>
    </row>
    <row r="132" spans="1:21" x14ac:dyDescent="0.25">
      <c r="A132" s="2">
        <v>20131</v>
      </c>
      <c r="B132" s="1" t="s">
        <v>386</v>
      </c>
      <c r="C132" t="s">
        <v>93</v>
      </c>
      <c r="D132" t="s">
        <v>66</v>
      </c>
      <c r="E132" t="s">
        <v>103</v>
      </c>
      <c r="F132" t="s">
        <v>116</v>
      </c>
      <c r="G132" t="s">
        <v>120</v>
      </c>
      <c r="H132" t="s">
        <v>67</v>
      </c>
      <c r="I132" t="s">
        <v>91</v>
      </c>
    </row>
    <row r="133" spans="1:21" x14ac:dyDescent="0.25">
      <c r="A133" s="2">
        <v>20132</v>
      </c>
      <c r="B133" s="1" t="s">
        <v>386</v>
      </c>
      <c r="C133" t="s">
        <v>64</v>
      </c>
      <c r="D133" t="s">
        <v>65</v>
      </c>
      <c r="E133" t="s">
        <v>95</v>
      </c>
      <c r="F133" t="s">
        <v>72</v>
      </c>
      <c r="G133" t="s">
        <v>92</v>
      </c>
      <c r="H133" t="s">
        <v>133</v>
      </c>
      <c r="I133" t="s">
        <v>159</v>
      </c>
      <c r="J133" t="s">
        <v>84</v>
      </c>
      <c r="K133" t="s">
        <v>67</v>
      </c>
    </row>
    <row r="134" spans="1:21" x14ac:dyDescent="0.25">
      <c r="A134" s="2">
        <v>20133</v>
      </c>
      <c r="B134" s="1" t="s">
        <v>386</v>
      </c>
      <c r="C134" t="s">
        <v>89</v>
      </c>
      <c r="D134" t="s">
        <v>67</v>
      </c>
      <c r="E134" t="s">
        <v>91</v>
      </c>
      <c r="F134" t="s">
        <v>88</v>
      </c>
      <c r="G134" t="s">
        <v>66</v>
      </c>
      <c r="H134" t="s">
        <v>116</v>
      </c>
      <c r="I134" t="s">
        <v>64</v>
      </c>
      <c r="J134" t="s">
        <v>65</v>
      </c>
      <c r="K134" t="s">
        <v>71</v>
      </c>
      <c r="L134" t="s">
        <v>199</v>
      </c>
    </row>
    <row r="135" spans="1:21" x14ac:dyDescent="0.25">
      <c r="A135" s="2">
        <v>20134</v>
      </c>
      <c r="B135" s="1" t="s">
        <v>386</v>
      </c>
      <c r="C135" t="s">
        <v>64</v>
      </c>
      <c r="D135" t="s">
        <v>65</v>
      </c>
      <c r="E135" t="s">
        <v>67</v>
      </c>
      <c r="F135" t="s">
        <v>260</v>
      </c>
      <c r="G135" t="s">
        <v>373</v>
      </c>
      <c r="H135" t="s">
        <v>89</v>
      </c>
      <c r="I135" t="s">
        <v>74</v>
      </c>
      <c r="J135" t="s">
        <v>77</v>
      </c>
      <c r="K135" t="s">
        <v>286</v>
      </c>
      <c r="L135" t="s">
        <v>374</v>
      </c>
    </row>
    <row r="136" spans="1:21" x14ac:dyDescent="0.25">
      <c r="A136" s="2">
        <v>20135</v>
      </c>
      <c r="B136" s="1" t="s">
        <v>386</v>
      </c>
      <c r="C136" t="s">
        <v>232</v>
      </c>
      <c r="D136" t="s">
        <v>177</v>
      </c>
      <c r="E136" t="s">
        <v>135</v>
      </c>
      <c r="F136" t="s">
        <v>376</v>
      </c>
      <c r="G136" t="s">
        <v>180</v>
      </c>
      <c r="H136" t="s">
        <v>282</v>
      </c>
      <c r="I136" t="s">
        <v>185</v>
      </c>
    </row>
    <row r="137" spans="1:21" x14ac:dyDescent="0.25">
      <c r="A137" s="2">
        <v>20136</v>
      </c>
      <c r="B137" s="1" t="s">
        <v>386</v>
      </c>
      <c r="C137" t="s">
        <v>232</v>
      </c>
      <c r="D137" t="s">
        <v>177</v>
      </c>
      <c r="E137" t="s">
        <v>224</v>
      </c>
      <c r="F137" t="s">
        <v>149</v>
      </c>
      <c r="G137" t="s">
        <v>115</v>
      </c>
      <c r="H137" t="s">
        <v>66</v>
      </c>
      <c r="I137" t="s">
        <v>84</v>
      </c>
      <c r="J137" t="s">
        <v>282</v>
      </c>
      <c r="K137" t="s">
        <v>378</v>
      </c>
      <c r="L137" t="s">
        <v>193</v>
      </c>
      <c r="M137" t="s">
        <v>181</v>
      </c>
      <c r="N137" t="s">
        <v>130</v>
      </c>
      <c r="O137" t="s">
        <v>379</v>
      </c>
      <c r="P137" t="s">
        <v>308</v>
      </c>
      <c r="Q137" t="s">
        <v>135</v>
      </c>
    </row>
    <row r="138" spans="1:21" x14ac:dyDescent="0.25">
      <c r="A138" s="2">
        <v>20137</v>
      </c>
      <c r="B138" s="1" t="s">
        <v>386</v>
      </c>
      <c r="C138" t="s">
        <v>65</v>
      </c>
      <c r="D138" t="s">
        <v>64</v>
      </c>
      <c r="E138" t="s">
        <v>381</v>
      </c>
      <c r="F138" t="s">
        <v>224</v>
      </c>
      <c r="G138" t="s">
        <v>95</v>
      </c>
      <c r="H138" t="s">
        <v>250</v>
      </c>
    </row>
    <row r="139" spans="1:21" x14ac:dyDescent="0.25">
      <c r="A139" s="2" t="s">
        <v>46</v>
      </c>
      <c r="B139" s="1" t="s">
        <v>386</v>
      </c>
      <c r="C139" t="s">
        <v>67</v>
      </c>
      <c r="D139" t="s">
        <v>64</v>
      </c>
      <c r="E139" t="s">
        <v>65</v>
      </c>
      <c r="F139" t="s">
        <v>127</v>
      </c>
      <c r="G139" t="s">
        <v>95</v>
      </c>
    </row>
    <row r="140" spans="1:21" x14ac:dyDescent="0.25">
      <c r="A140" s="2" t="s">
        <v>50</v>
      </c>
      <c r="B140" s="1" t="s">
        <v>386</v>
      </c>
      <c r="C140" t="s">
        <v>89</v>
      </c>
      <c r="D140" t="s">
        <v>127</v>
      </c>
      <c r="E140" t="s">
        <v>169</v>
      </c>
      <c r="F140" t="s">
        <v>72</v>
      </c>
      <c r="G140" t="s">
        <v>115</v>
      </c>
    </row>
    <row r="141" spans="1:21" x14ac:dyDescent="0.25">
      <c r="A141" s="2" t="s">
        <v>59</v>
      </c>
      <c r="B141" s="1" t="s">
        <v>386</v>
      </c>
      <c r="C141" t="s">
        <v>89</v>
      </c>
      <c r="D141" t="s">
        <v>65</v>
      </c>
      <c r="E141" t="s">
        <v>81</v>
      </c>
      <c r="F141" t="s">
        <v>115</v>
      </c>
      <c r="G141" t="s">
        <v>72</v>
      </c>
    </row>
    <row r="142" spans="1:21" x14ac:dyDescent="0.25">
      <c r="A142" s="1"/>
      <c r="B142" s="2"/>
    </row>
    <row r="143" spans="1:21" x14ac:dyDescent="0.25">
      <c r="A143" s="2"/>
      <c r="B143" s="2"/>
    </row>
    <row r="144" spans="1:21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PWA_Demographics</vt:lpstr>
      <vt:lpstr>WAB_AnimalGeneration</vt:lpstr>
      <vt:lpstr>WAB_AnGen_ForForwardFlow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Channing Hambric</cp:lastModifiedBy>
  <cp:revision/>
  <dcterms:created xsi:type="dcterms:W3CDTF">2020-05-11T15:13:55Z</dcterms:created>
  <dcterms:modified xsi:type="dcterms:W3CDTF">2025-09-03T18:21:10Z</dcterms:modified>
  <cp:category/>
  <cp:contentStatus/>
</cp:coreProperties>
</file>